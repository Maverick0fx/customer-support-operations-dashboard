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imelineCaches/timelineCache2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5.xml" ContentType="application/vnd.openxmlformats-officedocument.drawing+xml"/>
  <Override PartName="/xl/timelines/timeline2.xml" ContentType="application/vnd.ms-excel.timelin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2991d512bca826a6/Desktop/"/>
    </mc:Choice>
  </mc:AlternateContent>
  <xr:revisionPtr revIDLastSave="3" documentId="8_{DFE8EEA4-6773-412D-A4D2-1C697D88505F}" xr6:coauthVersionLast="47" xr6:coauthVersionMax="47" xr10:uidLastSave="{6C6A7A46-41C4-4DC3-AD4E-D6F576FE965D}"/>
  <bookViews>
    <workbookView xWindow="22932" yWindow="-108" windowWidth="41496" windowHeight="17496" tabRatio="581" xr2:uid="{00000000-000D-0000-FFFF-FFFF00000000}"/>
  </bookViews>
  <sheets>
    <sheet name="Dashboard" sheetId="7" r:id="rId1"/>
    <sheet name="Tickets" sheetId="5" r:id="rId2"/>
    <sheet name="Analysis" sheetId="9" r:id="rId3"/>
    <sheet name="Category_Map" sheetId="4" r:id="rId4"/>
  </sheets>
  <definedNames>
    <definedName name="NativeTimeline_Date_Created">#N/A</definedName>
    <definedName name="NativeTimeline_Date_Resolved">#N/A</definedName>
  </definedNames>
  <calcPr calcId="191028"/>
  <pivotCaches>
    <pivotCache cacheId="23" r:id="rId5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6"/>
        <x15:timelineCacheRef r:id="rId7"/>
      </x15:timelineCacheRefs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74" i="5" l="1"/>
  <c r="G974" i="5"/>
  <c r="B970" i="5"/>
  <c r="B971" i="5"/>
  <c r="B972" i="5"/>
  <c r="B973" i="5"/>
  <c r="G970" i="5"/>
  <c r="G971" i="5"/>
  <c r="G972" i="5"/>
  <c r="G973" i="5"/>
  <c r="B967" i="5"/>
  <c r="B968" i="5"/>
  <c r="B969" i="5"/>
  <c r="G967" i="5"/>
  <c r="G968" i="5"/>
  <c r="G969" i="5"/>
  <c r="B966" i="5"/>
  <c r="G966" i="5"/>
  <c r="B965" i="5"/>
  <c r="G965" i="5"/>
  <c r="B963" i="5"/>
  <c r="B964" i="5"/>
  <c r="G963" i="5"/>
  <c r="G964" i="5"/>
  <c r="B962" i="5"/>
  <c r="G962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769" i="5"/>
  <c r="G770" i="5"/>
  <c r="G771" i="5"/>
  <c r="G772" i="5"/>
  <c r="G773" i="5"/>
  <c r="G774" i="5"/>
  <c r="G775" i="5"/>
  <c r="G776" i="5"/>
  <c r="G777" i="5"/>
  <c r="G778" i="5"/>
  <c r="G779" i="5"/>
  <c r="G780" i="5"/>
  <c r="G781" i="5"/>
  <c r="G782" i="5"/>
  <c r="G783" i="5"/>
  <c r="G784" i="5"/>
  <c r="G785" i="5"/>
  <c r="G786" i="5"/>
  <c r="G787" i="5"/>
  <c r="G788" i="5"/>
  <c r="G789" i="5"/>
  <c r="G790" i="5"/>
  <c r="G791" i="5"/>
  <c r="G792" i="5"/>
  <c r="G793" i="5"/>
  <c r="G794" i="5"/>
  <c r="G795" i="5"/>
  <c r="G796" i="5"/>
  <c r="G797" i="5"/>
  <c r="G798" i="5"/>
  <c r="G799" i="5"/>
  <c r="G800" i="5"/>
  <c r="G801" i="5"/>
  <c r="G802" i="5"/>
  <c r="G803" i="5"/>
  <c r="G804" i="5"/>
  <c r="G805" i="5"/>
  <c r="G806" i="5"/>
  <c r="G807" i="5"/>
  <c r="G808" i="5"/>
  <c r="G809" i="5"/>
  <c r="G810" i="5"/>
  <c r="G811" i="5"/>
  <c r="G812" i="5"/>
  <c r="G813" i="5"/>
  <c r="G814" i="5"/>
  <c r="G815" i="5"/>
  <c r="G816" i="5"/>
  <c r="G817" i="5"/>
  <c r="G818" i="5"/>
  <c r="G819" i="5"/>
  <c r="G820" i="5"/>
  <c r="G821" i="5"/>
  <c r="G822" i="5"/>
  <c r="G823" i="5"/>
  <c r="G824" i="5"/>
  <c r="G825" i="5"/>
  <c r="G826" i="5"/>
  <c r="G827" i="5"/>
  <c r="G828" i="5"/>
  <c r="G829" i="5"/>
  <c r="G830" i="5"/>
  <c r="G831" i="5"/>
  <c r="G832" i="5"/>
  <c r="G833" i="5"/>
  <c r="G834" i="5"/>
  <c r="G835" i="5"/>
  <c r="G836" i="5"/>
  <c r="G837" i="5"/>
  <c r="G838" i="5"/>
  <c r="G839" i="5"/>
  <c r="G840" i="5"/>
  <c r="G841" i="5"/>
  <c r="G842" i="5"/>
  <c r="G843" i="5"/>
  <c r="G844" i="5"/>
  <c r="G845" i="5"/>
  <c r="G846" i="5"/>
  <c r="G847" i="5"/>
  <c r="G848" i="5"/>
  <c r="G849" i="5"/>
  <c r="G850" i="5"/>
  <c r="G851" i="5"/>
  <c r="G852" i="5"/>
  <c r="G853" i="5"/>
  <c r="G854" i="5"/>
  <c r="G855" i="5"/>
  <c r="G856" i="5"/>
  <c r="G857" i="5"/>
  <c r="G858" i="5"/>
  <c r="G859" i="5"/>
  <c r="G860" i="5"/>
  <c r="G861" i="5"/>
  <c r="G862" i="5"/>
  <c r="G863" i="5"/>
  <c r="G864" i="5"/>
  <c r="G865" i="5"/>
  <c r="G866" i="5"/>
  <c r="G867" i="5"/>
  <c r="G868" i="5"/>
  <c r="G869" i="5"/>
  <c r="G870" i="5"/>
  <c r="G871" i="5"/>
  <c r="G872" i="5"/>
  <c r="G873" i="5"/>
  <c r="G874" i="5"/>
  <c r="G875" i="5"/>
  <c r="G876" i="5"/>
  <c r="G877" i="5"/>
  <c r="G878" i="5"/>
  <c r="G879" i="5"/>
  <c r="G880" i="5"/>
  <c r="G881" i="5"/>
  <c r="G882" i="5"/>
  <c r="G883" i="5"/>
  <c r="G884" i="5"/>
  <c r="G885" i="5"/>
  <c r="G886" i="5"/>
  <c r="G887" i="5"/>
  <c r="G888" i="5"/>
  <c r="G889" i="5"/>
  <c r="G890" i="5"/>
  <c r="G891" i="5"/>
  <c r="G892" i="5"/>
  <c r="G893" i="5"/>
  <c r="G894" i="5"/>
  <c r="G895" i="5"/>
  <c r="G896" i="5"/>
  <c r="G897" i="5"/>
  <c r="G898" i="5"/>
  <c r="G899" i="5"/>
  <c r="G900" i="5"/>
  <c r="G901" i="5"/>
  <c r="G902" i="5"/>
  <c r="G903" i="5"/>
  <c r="G904" i="5"/>
  <c r="G905" i="5"/>
  <c r="G906" i="5"/>
  <c r="G907" i="5"/>
  <c r="G908" i="5"/>
  <c r="G909" i="5"/>
  <c r="G910" i="5"/>
  <c r="G911" i="5"/>
  <c r="G912" i="5"/>
  <c r="G913" i="5"/>
  <c r="G914" i="5"/>
  <c r="G915" i="5"/>
  <c r="G916" i="5"/>
  <c r="G917" i="5"/>
  <c r="G918" i="5"/>
  <c r="G919" i="5"/>
  <c r="G920" i="5"/>
  <c r="G921" i="5"/>
  <c r="G922" i="5"/>
  <c r="G923" i="5"/>
  <c r="G924" i="5"/>
  <c r="G925" i="5"/>
  <c r="G926" i="5"/>
  <c r="G927" i="5"/>
  <c r="G928" i="5"/>
  <c r="G929" i="5"/>
  <c r="G930" i="5"/>
  <c r="G931" i="5"/>
  <c r="G932" i="5"/>
  <c r="G933" i="5"/>
  <c r="G934" i="5"/>
  <c r="G935" i="5"/>
  <c r="G936" i="5"/>
  <c r="G937" i="5"/>
  <c r="G938" i="5"/>
  <c r="G939" i="5"/>
  <c r="G940" i="5"/>
  <c r="G941" i="5"/>
  <c r="G942" i="5"/>
  <c r="G943" i="5"/>
  <c r="G944" i="5"/>
  <c r="G945" i="5"/>
  <c r="G946" i="5"/>
  <c r="G947" i="5"/>
  <c r="G948" i="5"/>
  <c r="G949" i="5"/>
  <c r="G950" i="5"/>
  <c r="G951" i="5"/>
  <c r="G952" i="5"/>
  <c r="G953" i="5"/>
  <c r="G954" i="5"/>
  <c r="G955" i="5"/>
  <c r="G956" i="5"/>
  <c r="G957" i="5"/>
  <c r="G958" i="5"/>
  <c r="G959" i="5"/>
  <c r="G960" i="5"/>
  <c r="G961" i="5"/>
  <c r="B959" i="5"/>
  <c r="B960" i="5"/>
  <c r="B961" i="5"/>
  <c r="B958" i="5"/>
  <c r="B957" i="5"/>
  <c r="B954" i="5"/>
  <c r="B955" i="5"/>
  <c r="B956" i="5"/>
  <c r="B951" i="5"/>
  <c r="B952" i="5"/>
  <c r="B953" i="5"/>
  <c r="B949" i="5"/>
  <c r="B950" i="5"/>
  <c r="B947" i="5"/>
  <c r="B948" i="5"/>
  <c r="B945" i="5"/>
  <c r="B946" i="5"/>
  <c r="B944" i="5"/>
  <c r="B941" i="5"/>
  <c r="B942" i="5"/>
  <c r="B943" i="5"/>
  <c r="B939" i="5"/>
  <c r="B940" i="5"/>
  <c r="B938" i="5"/>
  <c r="B934" i="5"/>
  <c r="B935" i="5"/>
  <c r="B936" i="5"/>
  <c r="B937" i="5"/>
  <c r="B932" i="5"/>
  <c r="B933" i="5"/>
  <c r="B929" i="5"/>
  <c r="B930" i="5"/>
  <c r="B931" i="5"/>
  <c r="B927" i="5"/>
  <c r="B928" i="5"/>
  <c r="B925" i="5"/>
  <c r="B926" i="5"/>
  <c r="B924" i="5"/>
  <c r="B923" i="5"/>
  <c r="B920" i="5"/>
  <c r="B921" i="5"/>
  <c r="B922" i="5"/>
  <c r="B917" i="5"/>
  <c r="B918" i="5"/>
  <c r="B919" i="5"/>
  <c r="B916" i="5"/>
  <c r="B914" i="5"/>
  <c r="B915" i="5"/>
  <c r="B912" i="5"/>
  <c r="B913" i="5"/>
  <c r="B908" i="5"/>
  <c r="B909" i="5"/>
  <c r="B910" i="5"/>
  <c r="B911" i="5"/>
  <c r="B907" i="5"/>
  <c r="B906" i="5"/>
  <c r="B905" i="5"/>
  <c r="B904" i="5"/>
  <c r="B899" i="5"/>
  <c r="B900" i="5"/>
  <c r="B901" i="5"/>
  <c r="B902" i="5"/>
  <c r="B903" i="5"/>
  <c r="B897" i="5"/>
  <c r="B898" i="5"/>
  <c r="B894" i="5"/>
  <c r="B895" i="5"/>
  <c r="B896" i="5"/>
  <c r="B892" i="5"/>
  <c r="B893" i="5"/>
  <c r="B888" i="5"/>
  <c r="B889" i="5"/>
  <c r="B890" i="5"/>
  <c r="B891" i="5"/>
  <c r="B885" i="5"/>
  <c r="B886" i="5"/>
  <c r="B887" i="5"/>
  <c r="B884" i="5"/>
  <c r="B881" i="5"/>
  <c r="B882" i="5"/>
  <c r="B883" i="5"/>
  <c r="B877" i="5"/>
  <c r="B878" i="5"/>
  <c r="B879" i="5"/>
  <c r="B880" i="5"/>
  <c r="B876" i="5"/>
  <c r="B874" i="5"/>
  <c r="B875" i="5"/>
  <c r="B871" i="5"/>
  <c r="B872" i="5"/>
  <c r="B873" i="5"/>
  <c r="B869" i="5"/>
  <c r="B870" i="5"/>
  <c r="B868" i="5"/>
  <c r="B862" i="5"/>
  <c r="B863" i="5"/>
  <c r="B864" i="5"/>
  <c r="B865" i="5"/>
  <c r="B866" i="5"/>
  <c r="B867" i="5"/>
  <c r="B859" i="5"/>
  <c r="B860" i="5"/>
  <c r="B861" i="5"/>
  <c r="B858" i="5" l="1"/>
  <c r="B855" i="5"/>
  <c r="B856" i="5"/>
  <c r="B857" i="5"/>
  <c r="B852" i="5"/>
  <c r="B853" i="5"/>
  <c r="B854" i="5"/>
  <c r="B851" i="5"/>
  <c r="B849" i="5"/>
  <c r="B850" i="5"/>
  <c r="B848" i="5"/>
  <c r="B845" i="5"/>
  <c r="B846" i="5"/>
  <c r="B847" i="5"/>
  <c r="B844" i="5"/>
  <c r="B841" i="5"/>
  <c r="B842" i="5"/>
  <c r="B843" i="5"/>
  <c r="B837" i="5"/>
  <c r="B838" i="5"/>
  <c r="B839" i="5"/>
  <c r="B840" i="5"/>
  <c r="B836" i="5"/>
  <c r="B834" i="5"/>
  <c r="B835" i="5"/>
  <c r="B831" i="5"/>
  <c r="B832" i="5"/>
  <c r="B833" i="5"/>
  <c r="B830" i="5"/>
  <c r="B826" i="5"/>
  <c r="B827" i="5"/>
  <c r="B828" i="5"/>
  <c r="B829" i="5"/>
  <c r="B825" i="5"/>
  <c r="B824" i="5"/>
  <c r="B823" i="5"/>
  <c r="B822" i="5" l="1"/>
  <c r="B819" i="5"/>
  <c r="B820" i="5"/>
  <c r="B821" i="5"/>
  <c r="B814" i="5"/>
  <c r="B815" i="5"/>
  <c r="B816" i="5"/>
  <c r="B817" i="5"/>
  <c r="B818" i="5"/>
  <c r="B811" i="5"/>
  <c r="B812" i="5"/>
  <c r="B813" i="5"/>
  <c r="B808" i="5"/>
  <c r="B809" i="5"/>
  <c r="B810" i="5"/>
  <c r="B805" i="5"/>
  <c r="B806" i="5"/>
  <c r="B807" i="5"/>
  <c r="B804" i="5"/>
  <c r="B802" i="5"/>
  <c r="B803" i="5"/>
  <c r="B801" i="5"/>
  <c r="B797" i="5"/>
  <c r="B798" i="5"/>
  <c r="B799" i="5"/>
  <c r="B800" i="5"/>
  <c r="B796" i="5"/>
  <c r="B795" i="5"/>
  <c r="B791" i="5" l="1"/>
  <c r="B792" i="5"/>
  <c r="B793" i="5"/>
  <c r="B794" i="5"/>
  <c r="B790" i="5"/>
  <c r="B789" i="5"/>
  <c r="B783" i="5"/>
  <c r="B784" i="5"/>
  <c r="B785" i="5"/>
  <c r="B786" i="5"/>
  <c r="B787" i="5"/>
  <c r="B788" i="5"/>
  <c r="B782" i="5"/>
  <c r="B781" i="5"/>
  <c r="B777" i="5"/>
  <c r="B778" i="5"/>
  <c r="B779" i="5"/>
  <c r="B780" i="5"/>
  <c r="B776" i="5"/>
  <c r="B775" i="5"/>
  <c r="B772" i="5"/>
  <c r="B773" i="5"/>
  <c r="B774" i="5"/>
  <c r="B771" i="5"/>
  <c r="B769" i="5"/>
  <c r="B770" i="5"/>
  <c r="B767" i="5"/>
  <c r="B768" i="5"/>
  <c r="B764" i="5"/>
  <c r="B765" i="5"/>
  <c r="B766" i="5"/>
  <c r="B761" i="5"/>
  <c r="B762" i="5"/>
  <c r="B763" i="5"/>
  <c r="B758" i="5"/>
  <c r="B759" i="5"/>
  <c r="B760" i="5"/>
  <c r="B755" i="5"/>
  <c r="B756" i="5"/>
  <c r="B757" i="5"/>
  <c r="B754" i="5"/>
  <c r="B753" i="5"/>
  <c r="B752" i="5"/>
  <c r="B751" i="5"/>
  <c r="B750" i="5"/>
  <c r="B748" i="5"/>
  <c r="B749" i="5"/>
  <c r="B747" i="5"/>
  <c r="B746" i="5"/>
  <c r="B745" i="5"/>
  <c r="B742" i="5"/>
  <c r="B743" i="5"/>
  <c r="B744" i="5"/>
  <c r="B740" i="5"/>
  <c r="B741" i="5"/>
  <c r="B739" i="5"/>
  <c r="B738" i="5"/>
  <c r="B737" i="5"/>
  <c r="B733" i="5"/>
  <c r="B734" i="5"/>
  <c r="B735" i="5"/>
  <c r="B736" i="5"/>
  <c r="B732" i="5"/>
  <c r="B729" i="5"/>
  <c r="B730" i="5"/>
  <c r="B731" i="5"/>
  <c r="B728" i="5"/>
  <c r="B727" i="5"/>
  <c r="B725" i="5"/>
  <c r="B726" i="5"/>
  <c r="B722" i="5"/>
  <c r="B723" i="5"/>
  <c r="B724" i="5"/>
  <c r="B721" i="5"/>
  <c r="B716" i="5"/>
  <c r="B717" i="5"/>
  <c r="B718" i="5"/>
  <c r="B719" i="5"/>
  <c r="B720" i="5"/>
  <c r="B715" i="5"/>
  <c r="B714" i="5"/>
  <c r="B712" i="5"/>
  <c r="B713" i="5"/>
  <c r="B686" i="5"/>
  <c r="B710" i="5"/>
  <c r="B711" i="5"/>
  <c r="B708" i="5"/>
  <c r="B709" i="5"/>
  <c r="B707" i="5"/>
  <c r="B701" i="5"/>
  <c r="B702" i="5"/>
  <c r="B703" i="5"/>
  <c r="B704" i="5"/>
  <c r="B705" i="5"/>
  <c r="B706" i="5"/>
  <c r="B698" i="5"/>
  <c r="B699" i="5"/>
  <c r="B700" i="5"/>
  <c r="B697" i="5"/>
  <c r="B695" i="5"/>
  <c r="B696" i="5"/>
  <c r="B693" i="5"/>
  <c r="B694" i="5"/>
  <c r="B690" i="5"/>
  <c r="B691" i="5"/>
  <c r="B692" i="5"/>
  <c r="B689" i="5"/>
  <c r="B684" i="5"/>
  <c r="B685" i="5"/>
  <c r="B687" i="5"/>
  <c r="B688" i="5"/>
  <c r="B682" i="5"/>
  <c r="B683" i="5"/>
  <c r="B679" i="5"/>
  <c r="B680" i="5"/>
  <c r="B681" i="5"/>
  <c r="B678" i="5"/>
  <c r="B673" i="5"/>
  <c r="B674" i="5"/>
  <c r="B675" i="5"/>
  <c r="B676" i="5"/>
  <c r="B677" i="5"/>
  <c r="B667" i="5"/>
  <c r="B668" i="5"/>
  <c r="B669" i="5"/>
  <c r="B670" i="5"/>
  <c r="B671" i="5"/>
  <c r="B672" i="5"/>
  <c r="B665" i="5"/>
  <c r="B666" i="5"/>
  <c r="B661" i="5"/>
  <c r="B662" i="5"/>
  <c r="B663" i="5"/>
  <c r="B664" i="5"/>
  <c r="B660" i="5"/>
  <c r="B657" i="5"/>
  <c r="B658" i="5"/>
  <c r="B659" i="5"/>
  <c r="B654" i="5"/>
  <c r="B655" i="5"/>
  <c r="B656" i="5"/>
  <c r="B653" i="5"/>
  <c r="B652" i="5"/>
  <c r="B649" i="5"/>
  <c r="B650" i="5"/>
  <c r="B651" i="5"/>
  <c r="B648" i="5"/>
  <c r="B646" i="5"/>
  <c r="B647" i="5"/>
  <c r="B645" i="5"/>
  <c r="B644" i="5"/>
  <c r="B642" i="5"/>
  <c r="B643" i="5"/>
  <c r="B640" i="5"/>
  <c r="B641" i="5"/>
  <c r="B639" i="5"/>
  <c r="B636" i="5"/>
  <c r="B637" i="5"/>
  <c r="B638" i="5"/>
  <c r="B635" i="5"/>
  <c r="B634" i="5"/>
  <c r="B633" i="5"/>
  <c r="B632" i="5"/>
  <c r="B631" i="5"/>
  <c r="B630" i="5"/>
  <c r="B629" i="5"/>
  <c r="B627" i="5"/>
  <c r="B628" i="5"/>
  <c r="B626" i="5"/>
  <c r="B614" i="5"/>
  <c r="B615" i="5"/>
  <c r="B616" i="5"/>
  <c r="B617" i="5"/>
  <c r="B618" i="5"/>
  <c r="B619" i="5"/>
  <c r="B620" i="5"/>
  <c r="B621" i="5"/>
  <c r="B622" i="5"/>
  <c r="B623" i="5"/>
  <c r="B624" i="5"/>
  <c r="B625" i="5"/>
  <c r="B613" i="5" l="1"/>
  <c r="B612" i="5"/>
  <c r="B609" i="5"/>
  <c r="B610" i="5"/>
  <c r="B611" i="5"/>
  <c r="B608" i="5"/>
  <c r="B603" i="5"/>
  <c r="B604" i="5"/>
  <c r="B605" i="5"/>
  <c r="B606" i="5"/>
  <c r="B607" i="5"/>
  <c r="B600" i="5"/>
  <c r="B601" i="5"/>
  <c r="B602" i="5"/>
  <c r="B599" i="5"/>
  <c r="B589" i="5"/>
  <c r="B590" i="5"/>
  <c r="B591" i="5"/>
  <c r="B592" i="5"/>
  <c r="B593" i="5"/>
  <c r="B594" i="5"/>
  <c r="B595" i="5"/>
  <c r="B596" i="5"/>
  <c r="B597" i="5"/>
  <c r="B598" i="5"/>
  <c r="B586" i="5"/>
  <c r="B587" i="5"/>
  <c r="B588" i="5"/>
  <c r="B576" i="5"/>
  <c r="B577" i="5"/>
  <c r="B578" i="5"/>
  <c r="B579" i="5"/>
  <c r="B580" i="5"/>
  <c r="B581" i="5"/>
  <c r="B582" i="5"/>
  <c r="B583" i="5"/>
  <c r="B584" i="5"/>
  <c r="B585" i="5"/>
  <c r="B575" i="5"/>
  <c r="B574" i="5"/>
  <c r="B560" i="5"/>
  <c r="B561" i="5"/>
  <c r="B562" i="5"/>
  <c r="B563" i="5"/>
  <c r="B564" i="5"/>
  <c r="B565" i="5"/>
  <c r="B566" i="5"/>
  <c r="B567" i="5"/>
  <c r="B568" i="5"/>
  <c r="B569" i="5"/>
  <c r="B570" i="5"/>
  <c r="B571" i="5"/>
  <c r="B572" i="5"/>
  <c r="B573" i="5"/>
  <c r="B559" i="5"/>
  <c r="B387" i="5"/>
  <c r="B556" i="5"/>
  <c r="B558" i="5"/>
  <c r="B557" i="5"/>
  <c r="B551" i="5"/>
  <c r="B552" i="5"/>
  <c r="B553" i="5"/>
  <c r="B554" i="5"/>
  <c r="B555" i="5"/>
  <c r="B550" i="5"/>
  <c r="B544" i="5"/>
  <c r="B545" i="5"/>
  <c r="B546" i="5"/>
  <c r="B547" i="5"/>
  <c r="B548" i="5"/>
  <c r="B549" i="5"/>
  <c r="B543" i="5"/>
  <c r="B542" i="5"/>
  <c r="B538" i="5"/>
  <c r="B539" i="5"/>
  <c r="B540" i="5"/>
  <c r="B541" i="5"/>
  <c r="B537" i="5"/>
  <c r="B531" i="5" l="1"/>
  <c r="B532" i="5"/>
  <c r="B533" i="5"/>
  <c r="B534" i="5"/>
  <c r="B535" i="5"/>
  <c r="B536" i="5"/>
  <c r="B516" i="5"/>
  <c r="B517" i="5"/>
  <c r="B518" i="5"/>
  <c r="B519" i="5"/>
  <c r="B520" i="5"/>
  <c r="B521" i="5"/>
  <c r="B522" i="5"/>
  <c r="B523" i="5"/>
  <c r="B524" i="5"/>
  <c r="B525" i="5"/>
  <c r="B526" i="5"/>
  <c r="B527" i="5"/>
  <c r="B528" i="5"/>
  <c r="B529" i="5"/>
  <c r="B530" i="5"/>
  <c r="B515" i="5"/>
  <c r="B513" i="5"/>
  <c r="B514" i="5"/>
  <c r="B512" i="5" l="1"/>
  <c r="B511" i="5"/>
  <c r="B507" i="5"/>
  <c r="B508" i="5"/>
  <c r="B509" i="5"/>
  <c r="B510" i="5"/>
  <c r="B506" i="5"/>
  <c r="B502" i="5"/>
  <c r="B503" i="5"/>
  <c r="B504" i="5"/>
  <c r="B505" i="5"/>
  <c r="B500" i="5"/>
  <c r="B501" i="5"/>
  <c r="B499" i="5"/>
  <c r="B498" i="5"/>
  <c r="B497" i="5"/>
  <c r="B494" i="5"/>
  <c r="B495" i="5"/>
  <c r="B496" i="5"/>
  <c r="B491" i="5"/>
  <c r="B492" i="5"/>
  <c r="B493" i="5"/>
  <c r="B489" i="5"/>
  <c r="B490" i="5"/>
  <c r="B487" i="5"/>
  <c r="B488" i="5"/>
  <c r="B486" i="5"/>
  <c r="B485" i="5"/>
  <c r="B484" i="5"/>
  <c r="B469" i="5"/>
  <c r="B470" i="5"/>
  <c r="B471" i="5"/>
  <c r="B472" i="5"/>
  <c r="B473" i="5"/>
  <c r="B474" i="5"/>
  <c r="B475" i="5"/>
  <c r="B476" i="5"/>
  <c r="B477" i="5"/>
  <c r="B478" i="5"/>
  <c r="B479" i="5"/>
  <c r="B480" i="5"/>
  <c r="B481" i="5"/>
  <c r="B482" i="5"/>
  <c r="B483" i="5"/>
  <c r="B420" i="5"/>
  <c r="B421" i="5"/>
  <c r="B422" i="5"/>
  <c r="B423" i="5"/>
  <c r="B424" i="5"/>
  <c r="B425" i="5"/>
  <c r="B426" i="5"/>
  <c r="B427" i="5"/>
  <c r="B428" i="5"/>
  <c r="B429" i="5"/>
  <c r="B430" i="5"/>
  <c r="B431" i="5"/>
  <c r="B432" i="5"/>
  <c r="B433" i="5"/>
  <c r="B434" i="5"/>
  <c r="B435" i="5"/>
  <c r="B436" i="5"/>
  <c r="B437" i="5"/>
  <c r="B438" i="5"/>
  <c r="B439" i="5"/>
  <c r="B440" i="5"/>
  <c r="B441" i="5"/>
  <c r="B442" i="5"/>
  <c r="B443" i="5"/>
  <c r="B444" i="5"/>
  <c r="B445" i="5"/>
  <c r="B446" i="5"/>
  <c r="B447" i="5"/>
  <c r="B448" i="5"/>
  <c r="B449" i="5"/>
  <c r="B450" i="5"/>
  <c r="B451" i="5"/>
  <c r="B452" i="5"/>
  <c r="B453" i="5"/>
  <c r="B454" i="5"/>
  <c r="B455" i="5"/>
  <c r="B456" i="5"/>
  <c r="B457" i="5"/>
  <c r="B458" i="5"/>
  <c r="B459" i="5"/>
  <c r="B460" i="5"/>
  <c r="B461" i="5"/>
  <c r="B462" i="5"/>
  <c r="B463" i="5"/>
  <c r="B464" i="5"/>
  <c r="B465" i="5"/>
  <c r="B466" i="5"/>
  <c r="B467" i="5"/>
  <c r="B468" i="5"/>
  <c r="B270" i="5"/>
  <c r="B278" i="5"/>
  <c r="B317" i="5"/>
  <c r="B335" i="5"/>
  <c r="B339" i="5"/>
  <c r="B341" i="5"/>
  <c r="B342" i="5"/>
  <c r="B347" i="5"/>
  <c r="B357" i="5"/>
  <c r="B360" i="5"/>
  <c r="B365" i="5"/>
  <c r="B378" i="5"/>
  <c r="B383" i="5"/>
  <c r="B392" i="5"/>
  <c r="B320" i="5"/>
  <c r="B328" i="5"/>
  <c r="B346" i="5"/>
  <c r="B374" i="5"/>
  <c r="B398" i="5"/>
  <c r="B311" i="5"/>
  <c r="B208" i="5"/>
  <c r="B316" i="5"/>
  <c r="B338" i="5"/>
  <c r="B349" i="5"/>
  <c r="B352" i="5"/>
  <c r="B377" i="5"/>
  <c r="B412" i="5"/>
  <c r="B385" i="5"/>
  <c r="B390" i="5"/>
  <c r="B397" i="5"/>
  <c r="B404" i="5"/>
  <c r="B415" i="5"/>
  <c r="B388" i="5"/>
  <c r="B406" i="5"/>
  <c r="B409" i="5"/>
  <c r="B376" i="5"/>
  <c r="B391" i="5"/>
  <c r="B141" i="5"/>
  <c r="B142" i="5"/>
  <c r="B169" i="5"/>
  <c r="B211" i="5"/>
  <c r="B229" i="5"/>
  <c r="B271" i="5"/>
  <c r="B330" i="5"/>
  <c r="B331" i="5"/>
  <c r="B340" i="5"/>
  <c r="B348" i="5"/>
  <c r="B363" i="5"/>
  <c r="B369" i="5"/>
  <c r="B370" i="5"/>
  <c r="B371" i="5"/>
  <c r="B386" i="5"/>
  <c r="B393" i="5"/>
  <c r="B400" i="5"/>
  <c r="B401" i="5"/>
  <c r="B402" i="5"/>
  <c r="B403" i="5"/>
  <c r="B407" i="5"/>
  <c r="B408" i="5"/>
  <c r="B411" i="5"/>
  <c r="B413" i="5"/>
  <c r="B414" i="5"/>
  <c r="B416" i="5"/>
  <c r="B417" i="5"/>
  <c r="B418" i="5"/>
  <c r="B419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3" i="5"/>
  <c r="B145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1" i="5"/>
  <c r="B162" i="5"/>
  <c r="B163" i="5"/>
  <c r="B165" i="5"/>
  <c r="B167" i="5"/>
  <c r="B168" i="5"/>
  <c r="B170" i="5"/>
  <c r="B173" i="5"/>
  <c r="B174" i="5"/>
  <c r="B175" i="5"/>
  <c r="B176" i="5"/>
  <c r="B178" i="5"/>
  <c r="B180" i="5"/>
  <c r="B181" i="5"/>
  <c r="B182" i="5"/>
  <c r="B183" i="5"/>
  <c r="B184" i="5"/>
  <c r="B185" i="5"/>
  <c r="B186" i="5"/>
  <c r="B188" i="5"/>
  <c r="B190" i="5"/>
  <c r="B191" i="5"/>
  <c r="B192" i="5"/>
  <c r="B194" i="5"/>
  <c r="B195" i="5"/>
  <c r="B196" i="5"/>
  <c r="B197" i="5"/>
  <c r="B200" i="5"/>
  <c r="B203" i="5"/>
  <c r="B205" i="5"/>
  <c r="B206" i="5"/>
  <c r="B207" i="5"/>
  <c r="B209" i="5"/>
  <c r="B210" i="5"/>
  <c r="B214" i="5"/>
  <c r="B216" i="5"/>
  <c r="B217" i="5"/>
  <c r="B219" i="5"/>
  <c r="B220" i="5"/>
  <c r="B222" i="5"/>
  <c r="B225" i="5"/>
  <c r="B226" i="5"/>
  <c r="B227" i="5"/>
  <c r="B228" i="5"/>
  <c r="B237" i="5"/>
  <c r="B238" i="5"/>
  <c r="B240" i="5"/>
  <c r="B241" i="5"/>
  <c r="B242" i="5"/>
  <c r="B243" i="5"/>
  <c r="B244" i="5"/>
  <c r="B246" i="5"/>
  <c r="B248" i="5"/>
  <c r="B250" i="5"/>
  <c r="B252" i="5"/>
  <c r="B255" i="5"/>
  <c r="B256" i="5"/>
  <c r="B257" i="5"/>
  <c r="B258" i="5"/>
  <c r="B260" i="5"/>
  <c r="B263" i="5"/>
  <c r="B264" i="5"/>
  <c r="B266" i="5"/>
  <c r="B267" i="5"/>
  <c r="B272" i="5"/>
  <c r="B273" i="5"/>
  <c r="B274" i="5"/>
  <c r="B275" i="5"/>
  <c r="B276" i="5"/>
  <c r="B281" i="5"/>
  <c r="B283" i="5"/>
  <c r="B284" i="5"/>
  <c r="B286" i="5"/>
  <c r="B288" i="5"/>
  <c r="B290" i="5"/>
  <c r="B293" i="5"/>
  <c r="B300" i="5"/>
  <c r="B301" i="5"/>
  <c r="B303" i="5"/>
  <c r="B307" i="5"/>
  <c r="B309" i="5"/>
  <c r="B312" i="5"/>
  <c r="B318" i="5"/>
  <c r="B321" i="5"/>
  <c r="B323" i="5"/>
  <c r="B324" i="5"/>
  <c r="B325" i="5"/>
  <c r="B333" i="5"/>
  <c r="B334" i="5"/>
  <c r="B343" i="5"/>
  <c r="B344" i="5"/>
  <c r="B351" i="5"/>
  <c r="B353" i="5"/>
  <c r="B356" i="5"/>
  <c r="B358" i="5"/>
  <c r="B380" i="5"/>
  <c r="B144" i="5"/>
  <c r="B146" i="5"/>
  <c r="B160" i="5"/>
  <c r="B164" i="5"/>
  <c r="B166" i="5"/>
  <c r="B171" i="5"/>
  <c r="B172" i="5"/>
  <c r="B177" i="5"/>
  <c r="B179" i="5"/>
  <c r="B187" i="5"/>
  <c r="B189" i="5"/>
  <c r="B193" i="5"/>
  <c r="B198" i="5"/>
  <c r="B199" i="5"/>
  <c r="B201" i="5"/>
  <c r="B202" i="5"/>
  <c r="B204" i="5"/>
  <c r="B212" i="5"/>
  <c r="B213" i="5"/>
  <c r="B215" i="5"/>
  <c r="B218" i="5"/>
  <c r="B221" i="5"/>
  <c r="B223" i="5"/>
  <c r="B224" i="5"/>
  <c r="B230" i="5"/>
  <c r="B231" i="5"/>
  <c r="B232" i="5"/>
  <c r="B233" i="5"/>
  <c r="B234" i="5"/>
  <c r="B235" i="5"/>
  <c r="B236" i="5"/>
  <c r="B239" i="5"/>
  <c r="B245" i="5"/>
  <c r="B247" i="5"/>
  <c r="B249" i="5"/>
  <c r="B251" i="5"/>
  <c r="B253" i="5"/>
  <c r="B254" i="5"/>
  <c r="B259" i="5"/>
  <c r="B262" i="5"/>
  <c r="B265" i="5"/>
  <c r="B268" i="5"/>
  <c r="B269" i="5"/>
  <c r="B277" i="5"/>
  <c r="B279" i="5"/>
  <c r="B280" i="5"/>
  <c r="B282" i="5"/>
  <c r="B285" i="5"/>
  <c r="B287" i="5"/>
  <c r="B289" i="5"/>
  <c r="B291" i="5"/>
  <c r="B292" i="5"/>
  <c r="B294" i="5"/>
  <c r="B295" i="5"/>
  <c r="B296" i="5"/>
  <c r="B297" i="5"/>
  <c r="B298" i="5"/>
  <c r="B299" i="5"/>
  <c r="B302" i="5"/>
  <c r="B304" i="5"/>
  <c r="B305" i="5"/>
  <c r="B306" i="5"/>
  <c r="B308" i="5"/>
  <c r="B310" i="5"/>
  <c r="B313" i="5"/>
  <c r="B314" i="5"/>
  <c r="B315" i="5"/>
  <c r="B319" i="5"/>
  <c r="B322" i="5"/>
  <c r="B326" i="5"/>
  <c r="B327" i="5"/>
  <c r="B329" i="5"/>
  <c r="B332" i="5"/>
  <c r="B336" i="5"/>
  <c r="B337" i="5"/>
  <c r="B345" i="5"/>
  <c r="B350" i="5"/>
  <c r="B354" i="5"/>
  <c r="B355" i="5"/>
  <c r="B359" i="5"/>
  <c r="B361" i="5"/>
  <c r="B362" i="5"/>
  <c r="B364" i="5"/>
  <c r="B366" i="5"/>
  <c r="B367" i="5"/>
  <c r="B368" i="5"/>
  <c r="B372" i="5"/>
  <c r="B373" i="5"/>
  <c r="B375" i="5"/>
  <c r="B379" i="5"/>
  <c r="B381" i="5"/>
  <c r="B382" i="5"/>
  <c r="B384" i="5"/>
  <c r="B389" i="5"/>
  <c r="B394" i="5"/>
  <c r="B395" i="5"/>
  <c r="B396" i="5"/>
  <c r="B399" i="5"/>
  <c r="B405" i="5"/>
  <c r="B410" i="5"/>
  <c r="B261" i="5"/>
  <c r="H1" i="4" a="1"/>
  <c r="H1" i="4" s="1"/>
  <c r="B3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2F4527-E1F3-43DC-A517-A7AFA6C28154}" keepAlive="1" name="Query - Jira (2)" description="Connection to the 'Jira (2)' query in the workbook." type="5" refreshedVersion="8" background="1" saveData="1">
    <dbPr connection="Provider=Microsoft.Mashup.OleDb.1;Data Source=$Workbook$;Location=&quot;Jira (2)&quot;;Extended Properties=&quot;&quot;" command="SELECT * FROM [Jira (2)]"/>
  </connection>
  <connection id="2" xr16:uid="{491442E3-DAC3-46DC-BD21-3D398FACBD98}" keepAlive="1" name="Query - Table2" description="Connection to the 'Table2' query in the workbook." type="5" refreshedVersion="0" background="1">
    <dbPr connection="Provider=Microsoft.Mashup.OleDb.1;Data Source=$Workbook$;Location=Table2;Extended Properties=&quot;&quot;" command="SELECT * FROM [Table2]"/>
  </connection>
  <connection id="3" xr16:uid="{00000000-0015-0000-FFFF-FFFF00000000}" keepAlive="1" name="Query - Table3" description="Connection to the 'Table3' query in the workbook." type="5" refreshedVersion="0" background="1">
    <dbPr connection="Provider=Microsoft.Mashup.OleDb.1;Data Source=$Workbook$;Location=Table3;Extended Properties=&quot;&quot;" command="SELECT * FROM [Table3]"/>
  </connection>
  <connection id="4" xr16:uid="{0339BFD3-1748-444E-B9CD-88289364EE6C}" keepAlive="1" name="Query - Table4" description="Connection to the 'Table4' query in the workbook." type="5" refreshedVersion="0" background="1">
    <dbPr connection="Provider=Microsoft.Mashup.OleDb.1;Data Source=$Workbook$;Location=Table4;Extended Properties=&quot;&quot;" command="SELECT * FROM [Table4]"/>
  </connection>
  <connection id="5" xr16:uid="{EA11EC8E-0F51-4553-AFDB-DCE97ECC0319}" keepAlive="1" name="Query - Table6" description="Connection to the 'Table6' query in the workbook." type="5" refreshedVersion="8" background="1" saveData="1">
    <dbPr connection="Provider=Microsoft.Mashup.OleDb.1;Data Source=$Workbook$;Location=Table6;Extended Properties=&quot;&quot;" command="SELECT * FROM [Table6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<sst xmlns="http://schemas.openxmlformats.org/spreadsheetml/2006/main" count="7617" uniqueCount="2986">
  <si>
    <t>Ticket</t>
  </si>
  <si>
    <t>Date Created</t>
  </si>
  <si>
    <t>Status</t>
  </si>
  <si>
    <t>Assigned</t>
  </si>
  <si>
    <t>Comments</t>
  </si>
  <si>
    <t>CS-64</t>
  </si>
  <si>
    <t>CS-78</t>
  </si>
  <si>
    <t>CS-84</t>
  </si>
  <si>
    <t>CS-85</t>
  </si>
  <si>
    <t>CS-97</t>
  </si>
  <si>
    <t>CS-150</t>
  </si>
  <si>
    <t>Maverick</t>
  </si>
  <si>
    <t>CS-155</t>
  </si>
  <si>
    <t>CS-197</t>
  </si>
  <si>
    <t>CS-199</t>
  </si>
  <si>
    <t>CS-205</t>
  </si>
  <si>
    <t>CS-211</t>
  </si>
  <si>
    <t>CS-228</t>
  </si>
  <si>
    <t>CS-229</t>
  </si>
  <si>
    <t>CS-239</t>
  </si>
  <si>
    <t>CS-243</t>
  </si>
  <si>
    <t>CS-248</t>
  </si>
  <si>
    <t>CS-249</t>
  </si>
  <si>
    <t>CS-250</t>
  </si>
  <si>
    <t>CS-252</t>
  </si>
  <si>
    <t>CS-258</t>
  </si>
  <si>
    <t>CS-260</t>
  </si>
  <si>
    <t>CS-262</t>
  </si>
  <si>
    <t>CS-265</t>
  </si>
  <si>
    <t>CS-266</t>
  </si>
  <si>
    <t>CS-269</t>
  </si>
  <si>
    <t>CS-274</t>
  </si>
  <si>
    <t>CS-276</t>
  </si>
  <si>
    <t>CS-285</t>
  </si>
  <si>
    <t>CS-287</t>
  </si>
  <si>
    <t>CS-288</t>
  </si>
  <si>
    <t>CS-289</t>
  </si>
  <si>
    <t>CS-290</t>
  </si>
  <si>
    <t>CS-291</t>
  </si>
  <si>
    <t>CS-295</t>
  </si>
  <si>
    <t>CS-297</t>
  </si>
  <si>
    <t>CS-298</t>
  </si>
  <si>
    <t>CS-299</t>
  </si>
  <si>
    <t>CS-300</t>
  </si>
  <si>
    <t>CS-302</t>
  </si>
  <si>
    <t>CS-303</t>
  </si>
  <si>
    <t>CS-304</t>
  </si>
  <si>
    <t>CS-305</t>
  </si>
  <si>
    <t>CS-306</t>
  </si>
  <si>
    <t>CS-307</t>
  </si>
  <si>
    <t>CS-308</t>
  </si>
  <si>
    <t>CS-309</t>
  </si>
  <si>
    <t>CS-311</t>
  </si>
  <si>
    <t>CS-312</t>
  </si>
  <si>
    <t>CS-313</t>
  </si>
  <si>
    <t>CS-314</t>
  </si>
  <si>
    <t>CS-315</t>
  </si>
  <si>
    <t>CS-316</t>
  </si>
  <si>
    <t>CS-317</t>
  </si>
  <si>
    <t>CS-318</t>
  </si>
  <si>
    <t>CS-320</t>
  </si>
  <si>
    <t>CS-321</t>
  </si>
  <si>
    <t>CS-322</t>
  </si>
  <si>
    <t>CS-323</t>
  </si>
  <si>
    <t>CS-324</t>
  </si>
  <si>
    <t>CS-325</t>
  </si>
  <si>
    <t>CS-326</t>
  </si>
  <si>
    <t>CS-327</t>
  </si>
  <si>
    <t>CS-328</t>
  </si>
  <si>
    <t>CS-329</t>
  </si>
  <si>
    <t>CS-330</t>
  </si>
  <si>
    <t>CS-331</t>
  </si>
  <si>
    <t>CS-332</t>
  </si>
  <si>
    <t>CS-333</t>
  </si>
  <si>
    <t>CS-334</t>
  </si>
  <si>
    <t>CS-335</t>
  </si>
  <si>
    <t>CS-336</t>
  </si>
  <si>
    <t>CS-337</t>
  </si>
  <si>
    <t>CS-338</t>
  </si>
  <si>
    <t>CS-339</t>
  </si>
  <si>
    <t>CS-340</t>
  </si>
  <si>
    <t>CS-341</t>
  </si>
  <si>
    <t>CS-342</t>
  </si>
  <si>
    <t>CS-343</t>
  </si>
  <si>
    <t>CS-344</t>
  </si>
  <si>
    <t>CS-345</t>
  </si>
  <si>
    <t>CS-346</t>
  </si>
  <si>
    <t>CS-347</t>
  </si>
  <si>
    <t>CS-348</t>
  </si>
  <si>
    <t>CS-349</t>
  </si>
  <si>
    <t>CS-350</t>
  </si>
  <si>
    <t>CS-351</t>
  </si>
  <si>
    <t>CS-352</t>
  </si>
  <si>
    <t>CS-353</t>
  </si>
  <si>
    <t>CS-354</t>
  </si>
  <si>
    <t>CS-355</t>
  </si>
  <si>
    <t>CS-356</t>
  </si>
  <si>
    <t>CS-357</t>
  </si>
  <si>
    <t>CS-358</t>
  </si>
  <si>
    <t>CS-359</t>
  </si>
  <si>
    <t>CS-360</t>
  </si>
  <si>
    <t>CS-361</t>
  </si>
  <si>
    <t>CS-362</t>
  </si>
  <si>
    <t>CS-363</t>
  </si>
  <si>
    <t>CS-364</t>
  </si>
  <si>
    <t>CS-365</t>
  </si>
  <si>
    <t>CS-366</t>
  </si>
  <si>
    <t>CS-367</t>
  </si>
  <si>
    <t>CS-368</t>
  </si>
  <si>
    <t>CS-369</t>
  </si>
  <si>
    <t>CS-370</t>
  </si>
  <si>
    <t>CS-371</t>
  </si>
  <si>
    <t>CS-372</t>
  </si>
  <si>
    <t>CS-373</t>
  </si>
  <si>
    <t>CS-374</t>
  </si>
  <si>
    <t>CS-375</t>
  </si>
  <si>
    <t>CS-376</t>
  </si>
  <si>
    <t>CS-377</t>
  </si>
  <si>
    <t>CS-378</t>
  </si>
  <si>
    <t>CS-379</t>
  </si>
  <si>
    <t>CS-380</t>
  </si>
  <si>
    <t>CS-381</t>
  </si>
  <si>
    <t>CS-382</t>
  </si>
  <si>
    <t>CS-383</t>
  </si>
  <si>
    <t>CS-384</t>
  </si>
  <si>
    <t>CS-385</t>
  </si>
  <si>
    <t>CS-386</t>
  </si>
  <si>
    <t>CS-387</t>
  </si>
  <si>
    <t>CS-388</t>
  </si>
  <si>
    <t>CS-389</t>
  </si>
  <si>
    <t>CS-390</t>
  </si>
  <si>
    <t>CS-391</t>
  </si>
  <si>
    <t>CS-392</t>
  </si>
  <si>
    <t>CS-393</t>
  </si>
  <si>
    <t>CS-394</t>
  </si>
  <si>
    <t>CS-395</t>
  </si>
  <si>
    <t>CS-396</t>
  </si>
  <si>
    <t>CS-397</t>
  </si>
  <si>
    <t>CS-398</t>
  </si>
  <si>
    <t>CS-399</t>
  </si>
  <si>
    <t>CS-400</t>
  </si>
  <si>
    <t>CS-401</t>
  </si>
  <si>
    <t>CS-402</t>
  </si>
  <si>
    <t>CS-403</t>
  </si>
  <si>
    <t>CS-404</t>
  </si>
  <si>
    <t>CS-405</t>
  </si>
  <si>
    <t>CS-406</t>
  </si>
  <si>
    <t>CS-407</t>
  </si>
  <si>
    <t>CS-409</t>
  </si>
  <si>
    <t>CS-410</t>
  </si>
  <si>
    <t>CS-411</t>
  </si>
  <si>
    <t>CS-412</t>
  </si>
  <si>
    <t>CS-413</t>
  </si>
  <si>
    <t>CS-414</t>
  </si>
  <si>
    <t>CS-415</t>
  </si>
  <si>
    <t>CS-416</t>
  </si>
  <si>
    <t>CS-417</t>
  </si>
  <si>
    <t>CS-418</t>
  </si>
  <si>
    <t>CS-419</t>
  </si>
  <si>
    <t>CS-420</t>
  </si>
  <si>
    <t>CS-421</t>
  </si>
  <si>
    <t>CS-422</t>
  </si>
  <si>
    <t>CS-423</t>
  </si>
  <si>
    <t>CS-424</t>
  </si>
  <si>
    <t>CS-425</t>
  </si>
  <si>
    <t>CS-426</t>
  </si>
  <si>
    <t>CS-427</t>
  </si>
  <si>
    <t>CS-428</t>
  </si>
  <si>
    <t>CS-429</t>
  </si>
  <si>
    <t>CS-430</t>
  </si>
  <si>
    <t>CS-431</t>
  </si>
  <si>
    <t>CS-432</t>
  </si>
  <si>
    <t>CS-433</t>
  </si>
  <si>
    <t>CS-434</t>
  </si>
  <si>
    <t>CS-435</t>
  </si>
  <si>
    <t>CS-436</t>
  </si>
  <si>
    <t>CS-437</t>
  </si>
  <si>
    <t>CS-438</t>
  </si>
  <si>
    <t>CS-439</t>
  </si>
  <si>
    <t>CS-440</t>
  </si>
  <si>
    <t>CS-441</t>
  </si>
  <si>
    <t>CS-442</t>
  </si>
  <si>
    <t>CS-443</t>
  </si>
  <si>
    <t>CS-444</t>
  </si>
  <si>
    <t>CS-445</t>
  </si>
  <si>
    <t>CS-446</t>
  </si>
  <si>
    <t>CS-447</t>
  </si>
  <si>
    <t>CS-448</t>
  </si>
  <si>
    <t>CS-449</t>
  </si>
  <si>
    <t>CS-450</t>
  </si>
  <si>
    <t>CS-451</t>
  </si>
  <si>
    <t>CS-452</t>
  </si>
  <si>
    <t>CS-453</t>
  </si>
  <si>
    <t>CS-454</t>
  </si>
  <si>
    <t>CS-455</t>
  </si>
  <si>
    <t>CS-456</t>
  </si>
  <si>
    <t>CS-457</t>
  </si>
  <si>
    <t>CS-458</t>
  </si>
  <si>
    <t>CS-459</t>
  </si>
  <si>
    <t>CS-460</t>
  </si>
  <si>
    <t>CS-461</t>
  </si>
  <si>
    <t>CS-462</t>
  </si>
  <si>
    <t>CS-463</t>
  </si>
  <si>
    <t>CS-464</t>
  </si>
  <si>
    <t>CS-465</t>
  </si>
  <si>
    <t>CS-466</t>
  </si>
  <si>
    <t>CS-467</t>
  </si>
  <si>
    <t>CS-468</t>
  </si>
  <si>
    <t>CS-469</t>
  </si>
  <si>
    <t>CS-470</t>
  </si>
  <si>
    <t>CS-471</t>
  </si>
  <si>
    <t>CS-472</t>
  </si>
  <si>
    <t>CS-473</t>
  </si>
  <si>
    <t>CS-474</t>
  </si>
  <si>
    <t>CS-475</t>
  </si>
  <si>
    <t>CS-476</t>
  </si>
  <si>
    <t>CS-477</t>
  </si>
  <si>
    <t>CS-478</t>
  </si>
  <si>
    <t>CS-479</t>
  </si>
  <si>
    <t>CS-480</t>
  </si>
  <si>
    <t>CS-481</t>
  </si>
  <si>
    <t>CS-482</t>
  </si>
  <si>
    <t>CS-483</t>
  </si>
  <si>
    <t>CS-484</t>
  </si>
  <si>
    <t>CS-485</t>
  </si>
  <si>
    <t>CS-486</t>
  </si>
  <si>
    <t>CS-487</t>
  </si>
  <si>
    <t>CS-488</t>
  </si>
  <si>
    <t>CS-489</t>
  </si>
  <si>
    <t>CS-490</t>
  </si>
  <si>
    <t>CS-491</t>
  </si>
  <si>
    <t>CS-492</t>
  </si>
  <si>
    <t>CS-493</t>
  </si>
  <si>
    <t>CS-494</t>
  </si>
  <si>
    <t>CS-495</t>
  </si>
  <si>
    <t>CS-496</t>
  </si>
  <si>
    <t>CS-497</t>
  </si>
  <si>
    <t>CS-498</t>
  </si>
  <si>
    <t>CS-499</t>
  </si>
  <si>
    <t>CS-500</t>
  </si>
  <si>
    <t>CS-501</t>
  </si>
  <si>
    <t>CS-502</t>
  </si>
  <si>
    <t>CS-503</t>
  </si>
  <si>
    <t>CS-504</t>
  </si>
  <si>
    <t>CS-505</t>
  </si>
  <si>
    <t>CS-506</t>
  </si>
  <si>
    <t>CS-507</t>
  </si>
  <si>
    <t>CS-508</t>
  </si>
  <si>
    <t>CS-509</t>
  </si>
  <si>
    <t>CS-510</t>
  </si>
  <si>
    <t>CS-511</t>
  </si>
  <si>
    <t>CS-512</t>
  </si>
  <si>
    <t>CS-513</t>
  </si>
  <si>
    <t>CS-514</t>
  </si>
  <si>
    <t>CS-515</t>
  </si>
  <si>
    <t>CS-516</t>
  </si>
  <si>
    <t>CS-517</t>
  </si>
  <si>
    <t>CS-518</t>
  </si>
  <si>
    <t>CS-519</t>
  </si>
  <si>
    <t>CS-520</t>
  </si>
  <si>
    <t>CS-521</t>
  </si>
  <si>
    <t>CS-522</t>
  </si>
  <si>
    <t>CS-523</t>
  </si>
  <si>
    <t>CS-524</t>
  </si>
  <si>
    <t>CS-525</t>
  </si>
  <si>
    <t>CS-526</t>
  </si>
  <si>
    <t>CS-527</t>
  </si>
  <si>
    <t>CS-528</t>
  </si>
  <si>
    <t>CS-529</t>
  </si>
  <si>
    <t>CS-530</t>
  </si>
  <si>
    <t>CS-531</t>
  </si>
  <si>
    <t>CS-532</t>
  </si>
  <si>
    <t>CS-533</t>
  </si>
  <si>
    <t>CS-534</t>
  </si>
  <si>
    <t>CS-535</t>
  </si>
  <si>
    <t>CS-536</t>
  </si>
  <si>
    <t>CS-537</t>
  </si>
  <si>
    <t>CS-538</t>
  </si>
  <si>
    <t>CS-539</t>
  </si>
  <si>
    <t>CS-540</t>
  </si>
  <si>
    <t>CS-541</t>
  </si>
  <si>
    <t>CS-542</t>
  </si>
  <si>
    <t>CS-543</t>
  </si>
  <si>
    <t>CS-544</t>
  </si>
  <si>
    <t>CS-545</t>
  </si>
  <si>
    <t>CS-546</t>
  </si>
  <si>
    <t>CS-547</t>
  </si>
  <si>
    <t>CS-548</t>
  </si>
  <si>
    <t>CS-549</t>
  </si>
  <si>
    <t>CS-550</t>
  </si>
  <si>
    <t>CS-551</t>
  </si>
  <si>
    <t>CS-552</t>
  </si>
  <si>
    <t>CS-553</t>
  </si>
  <si>
    <t>CS-554</t>
  </si>
  <si>
    <t>CS-555</t>
  </si>
  <si>
    <t>CS-556</t>
  </si>
  <si>
    <t>CS-557</t>
  </si>
  <si>
    <t>CS-558</t>
  </si>
  <si>
    <t>CS-559</t>
  </si>
  <si>
    <t>CS-560</t>
  </si>
  <si>
    <t>CS-561</t>
  </si>
  <si>
    <t>CS-562</t>
  </si>
  <si>
    <t>CS-563</t>
  </si>
  <si>
    <t>CS-564</t>
  </si>
  <si>
    <t>CS-565</t>
  </si>
  <si>
    <t>CS-566</t>
  </si>
  <si>
    <t>CS-567</t>
  </si>
  <si>
    <t>CS-568</t>
  </si>
  <si>
    <t>CS-569</t>
  </si>
  <si>
    <t>CS-570</t>
  </si>
  <si>
    <t>CS-571</t>
  </si>
  <si>
    <t>CS-572</t>
  </si>
  <si>
    <t>CS-573</t>
  </si>
  <si>
    <t>CS-574</t>
  </si>
  <si>
    <t>CS-575</t>
  </si>
  <si>
    <t>CS-576</t>
  </si>
  <si>
    <t>CS-577</t>
  </si>
  <si>
    <t>CS-578</t>
  </si>
  <si>
    <t>CS-579</t>
  </si>
  <si>
    <t>CS-580</t>
  </si>
  <si>
    <t>CS-581</t>
  </si>
  <si>
    <t>CS-582</t>
  </si>
  <si>
    <t>CS-583</t>
  </si>
  <si>
    <t>CS-584</t>
  </si>
  <si>
    <t>CS-585</t>
  </si>
  <si>
    <t>CS-586</t>
  </si>
  <si>
    <t>CS-587</t>
  </si>
  <si>
    <t>CS-588</t>
  </si>
  <si>
    <t>CS-589</t>
  </si>
  <si>
    <t>CS-590</t>
  </si>
  <si>
    <t>CS-591</t>
  </si>
  <si>
    <t>CS-592</t>
  </si>
  <si>
    <t>CS-593</t>
  </si>
  <si>
    <t>CS-594</t>
  </si>
  <si>
    <t>CS-595</t>
  </si>
  <si>
    <t>CS-596</t>
  </si>
  <si>
    <t>CS-597</t>
  </si>
  <si>
    <t>CS-598</t>
  </si>
  <si>
    <t>CS-599</t>
  </si>
  <si>
    <t>CS-600</t>
  </si>
  <si>
    <t>CS-601</t>
  </si>
  <si>
    <t>CS-602</t>
  </si>
  <si>
    <t>CS-603</t>
  </si>
  <si>
    <t>CS-604</t>
  </si>
  <si>
    <t>CS-605</t>
  </si>
  <si>
    <t>CS-606</t>
  </si>
  <si>
    <t>CS-607</t>
  </si>
  <si>
    <t>CS-608</t>
  </si>
  <si>
    <t>CS-609</t>
  </si>
  <si>
    <t>CS-610</t>
  </si>
  <si>
    <t>CS-611</t>
  </si>
  <si>
    <t>CS-612</t>
  </si>
  <si>
    <t>CS-613</t>
  </si>
  <si>
    <t>CS-614</t>
  </si>
  <si>
    <t>CS-615</t>
  </si>
  <si>
    <t>CS-616</t>
  </si>
  <si>
    <t>CS-617</t>
  </si>
  <si>
    <t>CS-618</t>
  </si>
  <si>
    <t>CS-619</t>
  </si>
  <si>
    <t>CS-620</t>
  </si>
  <si>
    <t>CS-621</t>
  </si>
  <si>
    <t>CS-622</t>
  </si>
  <si>
    <t>CS-623</t>
  </si>
  <si>
    <t>CS-624</t>
  </si>
  <si>
    <t>CS-625</t>
  </si>
  <si>
    <t>CS-626</t>
  </si>
  <si>
    <t>CS-627</t>
  </si>
  <si>
    <t>CS-628</t>
  </si>
  <si>
    <t>CS-629</t>
  </si>
  <si>
    <t>CS-630</t>
  </si>
  <si>
    <t>CS-631</t>
  </si>
  <si>
    <t>CS-632</t>
  </si>
  <si>
    <t>CS-633</t>
  </si>
  <si>
    <t>CS-634</t>
  </si>
  <si>
    <t>CS-635</t>
  </si>
  <si>
    <t>CS-637</t>
  </si>
  <si>
    <t>CS-638</t>
  </si>
  <si>
    <t>CS-639</t>
  </si>
  <si>
    <t>CS-640</t>
  </si>
  <si>
    <t>CS-641</t>
  </si>
  <si>
    <t>CS-642</t>
  </si>
  <si>
    <t>CS-643</t>
  </si>
  <si>
    <t>CS-644</t>
  </si>
  <si>
    <t>CS-645</t>
  </si>
  <si>
    <t>CS-646</t>
  </si>
  <si>
    <t>Priority</t>
  </si>
  <si>
    <t>Issue_Summary</t>
  </si>
  <si>
    <t>Category</t>
  </si>
  <si>
    <t>International Users</t>
  </si>
  <si>
    <t>Bank &amp; Deposit Related</t>
  </si>
  <si>
    <t>Account &amp; Access</t>
  </si>
  <si>
    <t>Account Closure &amp; Deletion</t>
  </si>
  <si>
    <t>Investments &amp; Strategies</t>
  </si>
  <si>
    <t>Subscriptions &amp; Billing</t>
  </si>
  <si>
    <t>Documents &amp; Compliance</t>
  </si>
  <si>
    <t>Technical / Platform Issues</t>
  </si>
  <si>
    <t>ESCALATED</t>
  </si>
  <si>
    <t>IN PROGRESS</t>
  </si>
  <si>
    <t>RESOLVED</t>
  </si>
  <si>
    <t>HIGH</t>
  </si>
  <si>
    <t>CRITICAL</t>
  </si>
  <si>
    <t>Grand Total</t>
  </si>
  <si>
    <t>Count of Ticket</t>
  </si>
  <si>
    <t>Sort Column</t>
  </si>
  <si>
    <t>UNTOUCHED</t>
  </si>
  <si>
    <t>LOW</t>
  </si>
  <si>
    <t>CS-647</t>
  </si>
  <si>
    <t>CS-648</t>
  </si>
  <si>
    <t>CS-649</t>
  </si>
  <si>
    <t>CS-650</t>
  </si>
  <si>
    <t>CS-651</t>
  </si>
  <si>
    <t>CS-652</t>
  </si>
  <si>
    <t>UPDATED</t>
  </si>
  <si>
    <t>CLOSED</t>
  </si>
  <si>
    <t>DEFERRED</t>
  </si>
  <si>
    <t>Account Type</t>
  </si>
  <si>
    <t>No of Tickets</t>
  </si>
  <si>
    <t>Total Tickets</t>
  </si>
  <si>
    <t>Ticket by Status</t>
  </si>
  <si>
    <t>User Name</t>
  </si>
  <si>
    <t>Tickets by Category</t>
  </si>
  <si>
    <t>Resolved Tickets by Assigned to</t>
  </si>
  <si>
    <t>No of Tickets by Account Type</t>
  </si>
  <si>
    <t>Years (Date Created)</t>
  </si>
  <si>
    <t>Months (Date Created)</t>
  </si>
  <si>
    <t>2026</t>
  </si>
  <si>
    <t xml:space="preserve"> Tickets Created Over Time</t>
  </si>
  <si>
    <t>REFRESH ALL</t>
  </si>
  <si>
    <t>CS-653</t>
  </si>
  <si>
    <t>CS-654</t>
  </si>
  <si>
    <t>CS-655</t>
  </si>
  <si>
    <t>CS-656</t>
  </si>
  <si>
    <t>CS-657</t>
  </si>
  <si>
    <t>CS-658</t>
  </si>
  <si>
    <t>CS-659</t>
  </si>
  <si>
    <t>CS-660</t>
  </si>
  <si>
    <t>CS-661</t>
  </si>
  <si>
    <t>CS-662</t>
  </si>
  <si>
    <t>CS-663</t>
  </si>
  <si>
    <t>CS-664</t>
  </si>
  <si>
    <t>CS-665</t>
  </si>
  <si>
    <t>CS-666</t>
  </si>
  <si>
    <t>CS-667</t>
  </si>
  <si>
    <t>CS-668</t>
  </si>
  <si>
    <t>CS-669</t>
  </si>
  <si>
    <t>CS-670</t>
  </si>
  <si>
    <t>CS-671</t>
  </si>
  <si>
    <t>CS-672</t>
  </si>
  <si>
    <t>CS-673</t>
  </si>
  <si>
    <t>CS-674</t>
  </si>
  <si>
    <t>CS-675</t>
  </si>
  <si>
    <t>CS-676</t>
  </si>
  <si>
    <t>CS-677</t>
  </si>
  <si>
    <t>CS-678</t>
  </si>
  <si>
    <t>CS-679</t>
  </si>
  <si>
    <t>CS-680</t>
  </si>
  <si>
    <t>CS-681</t>
  </si>
  <si>
    <t>CS-682</t>
  </si>
  <si>
    <t>CS-683</t>
  </si>
  <si>
    <t>CS-684</t>
  </si>
  <si>
    <t>CS-685</t>
  </si>
  <si>
    <t>CS-686</t>
  </si>
  <si>
    <t>CS-687</t>
  </si>
  <si>
    <t>CS-688</t>
  </si>
  <si>
    <t>CS-689</t>
  </si>
  <si>
    <t>CS-690</t>
  </si>
  <si>
    <t>CS-691</t>
  </si>
  <si>
    <t>CS-692</t>
  </si>
  <si>
    <t>CS-693</t>
  </si>
  <si>
    <t>CS-694</t>
  </si>
  <si>
    <t>CS-695</t>
  </si>
  <si>
    <t>CS-696</t>
  </si>
  <si>
    <t>CS-697</t>
  </si>
  <si>
    <t>CS-698</t>
  </si>
  <si>
    <t>CS-699</t>
  </si>
  <si>
    <t>CS-700</t>
  </si>
  <si>
    <t>CS-701</t>
  </si>
  <si>
    <t>CS-702</t>
  </si>
  <si>
    <t>CS-703</t>
  </si>
  <si>
    <t>CS-704</t>
  </si>
  <si>
    <t>CS-705</t>
  </si>
  <si>
    <t>CS-706</t>
  </si>
  <si>
    <t>CS-707</t>
  </si>
  <si>
    <t>CS-708</t>
  </si>
  <si>
    <t>CS-709</t>
  </si>
  <si>
    <t>CS-710</t>
  </si>
  <si>
    <t>CS-711</t>
  </si>
  <si>
    <t>CS-712</t>
  </si>
  <si>
    <t>CS-713</t>
  </si>
  <si>
    <t>CS-714</t>
  </si>
  <si>
    <t>CS-715</t>
  </si>
  <si>
    <t>CS-716</t>
  </si>
  <si>
    <t>CS-717</t>
  </si>
  <si>
    <t>CS-718</t>
  </si>
  <si>
    <t>CS-719</t>
  </si>
  <si>
    <t>CS-720</t>
  </si>
  <si>
    <t>CS-721</t>
  </si>
  <si>
    <t>CS-722</t>
  </si>
  <si>
    <t>CS-723</t>
  </si>
  <si>
    <t>CS-724</t>
  </si>
  <si>
    <t>CS-725</t>
  </si>
  <si>
    <t>CS-726</t>
  </si>
  <si>
    <t>CS-727</t>
  </si>
  <si>
    <t>CS-728</t>
  </si>
  <si>
    <t>CS-729</t>
  </si>
  <si>
    <t>CS-730</t>
  </si>
  <si>
    <t>CS-731</t>
  </si>
  <si>
    <t>CS-732</t>
  </si>
  <si>
    <t>CS-733</t>
  </si>
  <si>
    <t>CS-734</t>
  </si>
  <si>
    <t>CS-735</t>
  </si>
  <si>
    <t>CS-736</t>
  </si>
  <si>
    <t>CS-737</t>
  </si>
  <si>
    <t>CS-738</t>
  </si>
  <si>
    <t>CS-739</t>
  </si>
  <si>
    <t>CS-740</t>
  </si>
  <si>
    <t>CS-741</t>
  </si>
  <si>
    <t>CS-742</t>
  </si>
  <si>
    <t>CS-743</t>
  </si>
  <si>
    <t>CS-744</t>
  </si>
  <si>
    <t>CS-745</t>
  </si>
  <si>
    <t>CS-746</t>
  </si>
  <si>
    <t>CS-747</t>
  </si>
  <si>
    <t>CS-748</t>
  </si>
  <si>
    <t>CS-749</t>
  </si>
  <si>
    <t>CS-750</t>
  </si>
  <si>
    <t>CS-751</t>
  </si>
  <si>
    <t>CS-752</t>
  </si>
  <si>
    <t>CS-753</t>
  </si>
  <si>
    <t>CS-754</t>
  </si>
  <si>
    <t>CS-755</t>
  </si>
  <si>
    <t>CS-756</t>
  </si>
  <si>
    <t>CS-757</t>
  </si>
  <si>
    <t>Date Resolved</t>
  </si>
  <si>
    <t>CS-636</t>
  </si>
  <si>
    <t>CS-758</t>
  </si>
  <si>
    <t>(Multiple Items)</t>
  </si>
  <si>
    <t>CS-759</t>
  </si>
  <si>
    <t>CS-760</t>
  </si>
  <si>
    <t>CS-761</t>
  </si>
  <si>
    <t>CS-762</t>
  </si>
  <si>
    <t>CS-763</t>
  </si>
  <si>
    <t>CS-764</t>
  </si>
  <si>
    <t>CS-765</t>
  </si>
  <si>
    <t>CS-766</t>
  </si>
  <si>
    <t>CS-767</t>
  </si>
  <si>
    <t>CS-768</t>
  </si>
  <si>
    <t>CS-769</t>
  </si>
  <si>
    <t>CS-770</t>
  </si>
  <si>
    <t>CS-771</t>
  </si>
  <si>
    <t>CS-772</t>
  </si>
  <si>
    <t>CS-773</t>
  </si>
  <si>
    <t>CS-774</t>
  </si>
  <si>
    <t>CS-775</t>
  </si>
  <si>
    <t>CS-776</t>
  </si>
  <si>
    <t>CS-777</t>
  </si>
  <si>
    <t>CS-778</t>
  </si>
  <si>
    <t>CS-779</t>
  </si>
  <si>
    <t>CS-780</t>
  </si>
  <si>
    <t>CS-781</t>
  </si>
  <si>
    <t>CS-782</t>
  </si>
  <si>
    <t>CS-783</t>
  </si>
  <si>
    <t>CS-784</t>
  </si>
  <si>
    <t>CS-785</t>
  </si>
  <si>
    <t>CS-786</t>
  </si>
  <si>
    <t>CS-787</t>
  </si>
  <si>
    <t>CS-788</t>
  </si>
  <si>
    <t>CS-789</t>
  </si>
  <si>
    <t>CS-790</t>
  </si>
  <si>
    <t>CS-791</t>
  </si>
  <si>
    <t>CS-792</t>
  </si>
  <si>
    <t>CS-793</t>
  </si>
  <si>
    <t>CS-794</t>
  </si>
  <si>
    <t>CS-795</t>
  </si>
  <si>
    <t>CS-796</t>
  </si>
  <si>
    <t>CS-797</t>
  </si>
  <si>
    <t>CS-798</t>
  </si>
  <si>
    <t>Column1</t>
  </si>
  <si>
    <t>Resolution</t>
  </si>
  <si>
    <t>CS-799</t>
  </si>
  <si>
    <t>CS-800</t>
  </si>
  <si>
    <t>CS-801</t>
  </si>
  <si>
    <t>CS-802</t>
  </si>
  <si>
    <t>CS-803</t>
  </si>
  <si>
    <t>CS-804</t>
  </si>
  <si>
    <t>CS-805</t>
  </si>
  <si>
    <t>CS-806</t>
  </si>
  <si>
    <t>CS-807</t>
  </si>
  <si>
    <t>CS-808</t>
  </si>
  <si>
    <t>CS-809</t>
  </si>
  <si>
    <t>CS-810</t>
  </si>
  <si>
    <t>CS-811</t>
  </si>
  <si>
    <t>CS-812</t>
  </si>
  <si>
    <t>CS-813</t>
  </si>
  <si>
    <t>CS-814</t>
  </si>
  <si>
    <t>CS-815</t>
  </si>
  <si>
    <t>CS-816</t>
  </si>
  <si>
    <t>CS-817</t>
  </si>
  <si>
    <t>CS-818</t>
  </si>
  <si>
    <t>CS-819</t>
  </si>
  <si>
    <t>CS-820</t>
  </si>
  <si>
    <t>CS-821</t>
  </si>
  <si>
    <t>CS-822</t>
  </si>
  <si>
    <t>CS-823</t>
  </si>
  <si>
    <t>CS-824</t>
  </si>
  <si>
    <t>CS-825</t>
  </si>
  <si>
    <t>CS-826</t>
  </si>
  <si>
    <t>CS-827</t>
  </si>
  <si>
    <t>CS-828</t>
  </si>
  <si>
    <t>CS-830</t>
  </si>
  <si>
    <t>CS-831</t>
  </si>
  <si>
    <t>CS-832</t>
  </si>
  <si>
    <t>CS-833</t>
  </si>
  <si>
    <t>CS-834</t>
  </si>
  <si>
    <t>CS-835</t>
  </si>
  <si>
    <t>CS-836</t>
  </si>
  <si>
    <t>CS-837</t>
  </si>
  <si>
    <t>CS-838</t>
  </si>
  <si>
    <t>CS-839</t>
  </si>
  <si>
    <t>CS-840</t>
  </si>
  <si>
    <t>CS-841</t>
  </si>
  <si>
    <t>CS-842</t>
  </si>
  <si>
    <t>CS-843</t>
  </si>
  <si>
    <t>CS-844</t>
  </si>
  <si>
    <t>CS-845</t>
  </si>
  <si>
    <t>CS-846</t>
  </si>
  <si>
    <t>CS-847</t>
  </si>
  <si>
    <t>CS-848</t>
  </si>
  <si>
    <t>CS-849</t>
  </si>
  <si>
    <t>CS-850</t>
  </si>
  <si>
    <t>CS-851</t>
  </si>
  <si>
    <t>CS-852</t>
  </si>
  <si>
    <t>CS-853</t>
  </si>
  <si>
    <t>CS-854</t>
  </si>
  <si>
    <t>CS-855</t>
  </si>
  <si>
    <t>CS-856</t>
  </si>
  <si>
    <t>CS-857</t>
  </si>
  <si>
    <t>CS-858</t>
  </si>
  <si>
    <t>CS-859</t>
  </si>
  <si>
    <t>CS-860</t>
  </si>
  <si>
    <t>CS-861</t>
  </si>
  <si>
    <t>CS-862</t>
  </si>
  <si>
    <t>CS-863</t>
  </si>
  <si>
    <t>CS-864</t>
  </si>
  <si>
    <t>CS-865</t>
  </si>
  <si>
    <t>CS-866</t>
  </si>
  <si>
    <t>CS-867</t>
  </si>
  <si>
    <t>CS-868</t>
  </si>
  <si>
    <t>CS-869</t>
  </si>
  <si>
    <t>CS-870</t>
  </si>
  <si>
    <t>CS-871</t>
  </si>
  <si>
    <t>CS-872</t>
  </si>
  <si>
    <t>CS-873</t>
  </si>
  <si>
    <t>CS-829</t>
  </si>
  <si>
    <t>CS-874</t>
  </si>
  <si>
    <t>s</t>
  </si>
  <si>
    <t>CS-875</t>
  </si>
  <si>
    <t>CS-876</t>
  </si>
  <si>
    <t>CS-877</t>
  </si>
  <si>
    <t>CS-878</t>
  </si>
  <si>
    <t>CS-879</t>
  </si>
  <si>
    <t>CS-880</t>
  </si>
  <si>
    <t>CS-881</t>
  </si>
  <si>
    <t>CS-882</t>
  </si>
  <si>
    <t>CS-883</t>
  </si>
  <si>
    <t>CS-884</t>
  </si>
  <si>
    <t>CS-885</t>
  </si>
  <si>
    <t>CS-886</t>
  </si>
  <si>
    <t>CS-887</t>
  </si>
  <si>
    <t>CS-888</t>
  </si>
  <si>
    <t>CS-889</t>
  </si>
  <si>
    <t>CS-890</t>
  </si>
  <si>
    <t>CS-891</t>
  </si>
  <si>
    <t>CS-892</t>
  </si>
  <si>
    <t>CS-893</t>
  </si>
  <si>
    <t>CS-894</t>
  </si>
  <si>
    <t>CS-895</t>
  </si>
  <si>
    <t>CS-896</t>
  </si>
  <si>
    <t>CS-897</t>
  </si>
  <si>
    <t>CS-898</t>
  </si>
  <si>
    <t>CS-899</t>
  </si>
  <si>
    <t>CS-900</t>
  </si>
  <si>
    <t>CS-901</t>
  </si>
  <si>
    <t>CS-902</t>
  </si>
  <si>
    <t>CS-903</t>
  </si>
  <si>
    <t>CS-904</t>
  </si>
  <si>
    <t>CS-905</t>
  </si>
  <si>
    <t>CS-906</t>
  </si>
  <si>
    <t>CS-907</t>
  </si>
  <si>
    <t>CS-908</t>
  </si>
  <si>
    <t>CS-909</t>
  </si>
  <si>
    <t xml:space="preserve"> </t>
  </si>
  <si>
    <t>CS-910</t>
  </si>
  <si>
    <t>CS-911</t>
  </si>
  <si>
    <t>CS-912</t>
  </si>
  <si>
    <t>CS-913</t>
  </si>
  <si>
    <t>CS-914</t>
  </si>
  <si>
    <t>CS-915</t>
  </si>
  <si>
    <t>CS-916</t>
  </si>
  <si>
    <t>CS-917</t>
  </si>
  <si>
    <t>CS-918</t>
  </si>
  <si>
    <t>CS-919</t>
  </si>
  <si>
    <t>CS-920</t>
  </si>
  <si>
    <t>CS-921</t>
  </si>
  <si>
    <t>CS-922</t>
  </si>
  <si>
    <t>CS-923</t>
  </si>
  <si>
    <t>CS-924</t>
  </si>
  <si>
    <t>CS-925</t>
  </si>
  <si>
    <t>CS-926</t>
  </si>
  <si>
    <t>CS-927</t>
  </si>
  <si>
    <t>CS-928</t>
  </si>
  <si>
    <t>CS-929</t>
  </si>
  <si>
    <t>CS-930</t>
  </si>
  <si>
    <t>CS-931</t>
  </si>
  <si>
    <t>CS-932</t>
  </si>
  <si>
    <t>CS-933</t>
  </si>
  <si>
    <t>CS-934</t>
  </si>
  <si>
    <t>CS-935</t>
  </si>
  <si>
    <t>CS-936</t>
  </si>
  <si>
    <t>CS-937</t>
  </si>
  <si>
    <t>CS-938</t>
  </si>
  <si>
    <t>CS-939</t>
  </si>
  <si>
    <t>CS-940</t>
  </si>
  <si>
    <t>CS-941</t>
  </si>
  <si>
    <t>CS-942</t>
  </si>
  <si>
    <t>CS-943</t>
  </si>
  <si>
    <t>CS-944</t>
  </si>
  <si>
    <t>CS-945</t>
  </si>
  <si>
    <t>CS-946</t>
  </si>
  <si>
    <t>CS-947</t>
  </si>
  <si>
    <t>CS-948</t>
  </si>
  <si>
    <t>CS-949</t>
  </si>
  <si>
    <t>CS-950</t>
  </si>
  <si>
    <t>CS-951</t>
  </si>
  <si>
    <t>CS-952</t>
  </si>
  <si>
    <t>CS-953</t>
  </si>
  <si>
    <t>CS-954</t>
  </si>
  <si>
    <t>CS-955</t>
  </si>
  <si>
    <t>CS-956</t>
  </si>
  <si>
    <t>CS-957</t>
  </si>
  <si>
    <t>CS-958</t>
  </si>
  <si>
    <t>CS-959</t>
  </si>
  <si>
    <t>CS-960</t>
  </si>
  <si>
    <t>CS-961</t>
  </si>
  <si>
    <t>CS-962</t>
  </si>
  <si>
    <t>CS-963</t>
  </si>
  <si>
    <t>CS-964</t>
  </si>
  <si>
    <t>CS-965</t>
  </si>
  <si>
    <t>CS-966</t>
  </si>
  <si>
    <t>CS-967</t>
  </si>
  <si>
    <t>CS-968</t>
  </si>
  <si>
    <t>CS-969</t>
  </si>
  <si>
    <t>CS-970</t>
  </si>
  <si>
    <t>CS-971</t>
  </si>
  <si>
    <t>CS-972</t>
  </si>
  <si>
    <t>CS-973</t>
  </si>
  <si>
    <t>CS-974</t>
  </si>
  <si>
    <t>CS-975</t>
  </si>
  <si>
    <t>CS-976</t>
  </si>
  <si>
    <t xml:space="preserve">DATES RESOLVED BY TIME </t>
  </si>
  <si>
    <t>CS-977</t>
  </si>
  <si>
    <t>CS-978</t>
  </si>
  <si>
    <t>CS-979</t>
  </si>
  <si>
    <t>CS-980</t>
  </si>
  <si>
    <t>CS-981</t>
  </si>
  <si>
    <t>CS-982</t>
  </si>
  <si>
    <t>CS-983</t>
  </si>
  <si>
    <t>CS-984</t>
  </si>
  <si>
    <t>CS-985</t>
  </si>
  <si>
    <t>CS-986</t>
  </si>
  <si>
    <t>CS-987</t>
  </si>
  <si>
    <t>CS-988</t>
  </si>
  <si>
    <t>CS-989</t>
  </si>
  <si>
    <t>CS-990</t>
  </si>
  <si>
    <t>CS-991</t>
  </si>
  <si>
    <t>CS-992</t>
  </si>
  <si>
    <t>CS-993</t>
  </si>
  <si>
    <t>CS-994</t>
  </si>
  <si>
    <t>CS-995</t>
  </si>
  <si>
    <t>CS-996</t>
  </si>
  <si>
    <t>CS-997</t>
  </si>
  <si>
    <t>CS-998</t>
  </si>
  <si>
    <t>Row Labels</t>
  </si>
  <si>
    <t>CS-999</t>
  </si>
  <si>
    <t>CS-1000</t>
  </si>
  <si>
    <t>CS-1001</t>
  </si>
  <si>
    <t>CS-1002</t>
  </si>
  <si>
    <t>CS-1003</t>
  </si>
  <si>
    <t>CS-1004</t>
  </si>
  <si>
    <t>CS-1005</t>
  </si>
  <si>
    <t>CS-1006</t>
  </si>
  <si>
    <t>CS-1007</t>
  </si>
  <si>
    <t>CS-1008</t>
  </si>
  <si>
    <t>CS-1009</t>
  </si>
  <si>
    <t>CS-1010</t>
  </si>
  <si>
    <t>CS-1011</t>
  </si>
  <si>
    <t>CS-1012</t>
  </si>
  <si>
    <t>CS-1013</t>
  </si>
  <si>
    <t>CS-1014</t>
  </si>
  <si>
    <t>CS-1015</t>
  </si>
  <si>
    <t>CS-1016</t>
  </si>
  <si>
    <t>CS-1017</t>
  </si>
  <si>
    <t>CS-1018</t>
  </si>
  <si>
    <t>CS-1019</t>
  </si>
  <si>
    <t>CS-1020</t>
  </si>
  <si>
    <t>CS-1021</t>
  </si>
  <si>
    <t>CS-1022</t>
  </si>
  <si>
    <t>CS-1023</t>
  </si>
  <si>
    <t>CS-1024</t>
  </si>
  <si>
    <t>CS-1025</t>
  </si>
  <si>
    <t>CS-1026</t>
  </si>
  <si>
    <t>CS-1027</t>
  </si>
  <si>
    <t>CS-1028</t>
  </si>
  <si>
    <t>CS-1029</t>
  </si>
  <si>
    <t>CS-1030</t>
  </si>
  <si>
    <t>CS-1031</t>
  </si>
  <si>
    <t>CS-1032</t>
  </si>
  <si>
    <t>CS-1033</t>
  </si>
  <si>
    <t>CS-1034</t>
  </si>
  <si>
    <t>CS-1035</t>
  </si>
  <si>
    <t>CS-1036</t>
  </si>
  <si>
    <t>CS-1037</t>
  </si>
  <si>
    <t>CS-1038</t>
  </si>
  <si>
    <t>CS-1039</t>
  </si>
  <si>
    <t>CS-1040</t>
  </si>
  <si>
    <t>CS-1041</t>
  </si>
  <si>
    <t>CS-1042</t>
  </si>
  <si>
    <t>CS-1043</t>
  </si>
  <si>
    <t>CS-1044</t>
  </si>
  <si>
    <t>CS-1045</t>
  </si>
  <si>
    <t>CS-1046</t>
  </si>
  <si>
    <t>CS-1047</t>
  </si>
  <si>
    <t>CS-1048</t>
  </si>
  <si>
    <t>CS-1049</t>
  </si>
  <si>
    <t>CS-1050</t>
  </si>
  <si>
    <t>CS-1051</t>
  </si>
  <si>
    <t>CS-1052</t>
  </si>
  <si>
    <t>CS-1053</t>
  </si>
  <si>
    <t>CS-1054</t>
  </si>
  <si>
    <t>CS-1055</t>
  </si>
  <si>
    <t>CS-1056</t>
  </si>
  <si>
    <t>CS-1057</t>
  </si>
  <si>
    <t>CS-1058</t>
  </si>
  <si>
    <t>CS-1059</t>
  </si>
  <si>
    <t>CS-1060</t>
  </si>
  <si>
    <t>CS-1061</t>
  </si>
  <si>
    <t>CS-1062</t>
  </si>
  <si>
    <t>CS-1063</t>
  </si>
  <si>
    <t>CS-1064</t>
  </si>
  <si>
    <t>CS-1065</t>
  </si>
  <si>
    <t>CS-1066</t>
  </si>
  <si>
    <t>CS-1067</t>
  </si>
  <si>
    <t>CS-1068</t>
  </si>
  <si>
    <t>CS-1069</t>
  </si>
  <si>
    <t>CS-1070</t>
  </si>
  <si>
    <t>CS-1071</t>
  </si>
  <si>
    <t>CS-1072</t>
  </si>
  <si>
    <t>CS-1073</t>
  </si>
  <si>
    <t>CS-1074</t>
  </si>
  <si>
    <t>CS-1075</t>
  </si>
  <si>
    <t>CS-1076</t>
  </si>
  <si>
    <t>CS-1077</t>
  </si>
  <si>
    <t>CS-1078</t>
  </si>
  <si>
    <t>CS-1079</t>
  </si>
  <si>
    <t>CS-1080</t>
  </si>
  <si>
    <t>CS-1081</t>
  </si>
  <si>
    <t>CS-1082</t>
  </si>
  <si>
    <t>CS-1083</t>
  </si>
  <si>
    <t>CS-1084</t>
  </si>
  <si>
    <t>CS-1085</t>
  </si>
  <si>
    <t>CS-1086</t>
  </si>
  <si>
    <t>CS-1087</t>
  </si>
  <si>
    <t>CS-1088</t>
  </si>
  <si>
    <t>CS-1089</t>
  </si>
  <si>
    <t>CS-1090</t>
  </si>
  <si>
    <t>CS-1091</t>
  </si>
  <si>
    <t>CS-1092</t>
  </si>
  <si>
    <t>CS-1093</t>
  </si>
  <si>
    <t>CS-1094</t>
  </si>
  <si>
    <t>CS-1095</t>
  </si>
  <si>
    <t>CS-1096</t>
  </si>
  <si>
    <t>CS-1097</t>
  </si>
  <si>
    <t>CS-1098</t>
  </si>
  <si>
    <t>CS-1099</t>
  </si>
  <si>
    <t>CS-1100</t>
  </si>
  <si>
    <t>CS-1101</t>
  </si>
  <si>
    <t>CS-1102</t>
  </si>
  <si>
    <t>CS-1103</t>
  </si>
  <si>
    <t>CS-1104</t>
  </si>
  <si>
    <t>CS-1105</t>
  </si>
  <si>
    <t>CS-1106</t>
  </si>
  <si>
    <t>CS-1107</t>
  </si>
  <si>
    <t>CS-1108</t>
  </si>
  <si>
    <t>CS-1109</t>
  </si>
  <si>
    <t>CS-1110</t>
  </si>
  <si>
    <t>CS-1111</t>
  </si>
  <si>
    <t>CS-1112</t>
  </si>
  <si>
    <t>CS-1113</t>
  </si>
  <si>
    <t>CS-1114</t>
  </si>
  <si>
    <t>CS-1115</t>
  </si>
  <si>
    <t>CS-1116</t>
  </si>
  <si>
    <t>CS-1117</t>
  </si>
  <si>
    <t>CS-1118</t>
  </si>
  <si>
    <t>CS-1119</t>
  </si>
  <si>
    <t>CS-1120</t>
  </si>
  <si>
    <t>CS-1122</t>
  </si>
  <si>
    <t>CS-1123</t>
  </si>
  <si>
    <t>CS-1124</t>
  </si>
  <si>
    <t>CS-1125</t>
  </si>
  <si>
    <t>CS-1126</t>
  </si>
  <si>
    <t>CS-1127</t>
  </si>
  <si>
    <t>CS-1128</t>
  </si>
  <si>
    <t>CS-1129</t>
  </si>
  <si>
    <t>CS-1130</t>
  </si>
  <si>
    <t>CS-1131</t>
  </si>
  <si>
    <t>CS-1132</t>
  </si>
  <si>
    <t>CS-1133</t>
  </si>
  <si>
    <t>CS-1134</t>
  </si>
  <si>
    <t>CS-1135</t>
  </si>
  <si>
    <t>CS-1136</t>
  </si>
  <si>
    <t>CS-1137</t>
  </si>
  <si>
    <t>CS-1138</t>
  </si>
  <si>
    <t>CS-1139</t>
  </si>
  <si>
    <t>CS-1140</t>
  </si>
  <si>
    <t>CS-1141</t>
  </si>
  <si>
    <t>CS-1142</t>
  </si>
  <si>
    <t>CS-1143</t>
  </si>
  <si>
    <t>CS-1144</t>
  </si>
  <si>
    <t>CS-1145</t>
  </si>
  <si>
    <t>CS-1146</t>
  </si>
  <si>
    <t>CS-1147</t>
  </si>
  <si>
    <t>CS-1148</t>
  </si>
  <si>
    <t>CS-1149</t>
  </si>
  <si>
    <t>CS-1150</t>
  </si>
  <si>
    <t>CS-1151</t>
  </si>
  <si>
    <t>CS-1152</t>
  </si>
  <si>
    <t>CS-1153</t>
  </si>
  <si>
    <t>CS-1154</t>
  </si>
  <si>
    <t>CS-1155</t>
  </si>
  <si>
    <t>CS-1156</t>
  </si>
  <si>
    <t>Jun</t>
  </si>
  <si>
    <t>CS-1157</t>
  </si>
  <si>
    <t>CS-1158</t>
  </si>
  <si>
    <t>CS-1159</t>
  </si>
  <si>
    <t>CS-1160</t>
  </si>
  <si>
    <t>CS-1161</t>
  </si>
  <si>
    <t>CS-1162</t>
  </si>
  <si>
    <t>CS-1163</t>
  </si>
  <si>
    <t>CS-1164</t>
  </si>
  <si>
    <t>CS-1165</t>
  </si>
  <si>
    <t>CS-1166</t>
  </si>
  <si>
    <t>CS-1167</t>
  </si>
  <si>
    <t>CS-1168</t>
  </si>
  <si>
    <t>CS-1169</t>
  </si>
  <si>
    <t>CS-1170</t>
  </si>
  <si>
    <t>CS-1171</t>
  </si>
  <si>
    <t>CS-1172</t>
  </si>
  <si>
    <t>CS-1173</t>
  </si>
  <si>
    <t>CS-1174</t>
  </si>
  <si>
    <t>CS-1175</t>
  </si>
  <si>
    <t>CS-1176</t>
  </si>
  <si>
    <t>CS-1177</t>
  </si>
  <si>
    <t>CS-1178</t>
  </si>
  <si>
    <t>CS-1179</t>
  </si>
  <si>
    <t>CS-1180</t>
  </si>
  <si>
    <t>CS-1181</t>
  </si>
  <si>
    <t>CS-1182</t>
  </si>
  <si>
    <t>CS-1183</t>
  </si>
  <si>
    <t>CS-1184</t>
  </si>
  <si>
    <t>CS-1185</t>
  </si>
  <si>
    <t>CS-1186</t>
  </si>
  <si>
    <t>CS-1187</t>
  </si>
  <si>
    <t>CS-1188</t>
  </si>
  <si>
    <t>CS-1189</t>
  </si>
  <si>
    <t>CS-1190</t>
  </si>
  <si>
    <t>CS-1191</t>
  </si>
  <si>
    <t>CS-1192</t>
  </si>
  <si>
    <t>CS-1193</t>
  </si>
  <si>
    <t>CS-1194</t>
  </si>
  <si>
    <t>CS-1195</t>
  </si>
  <si>
    <t>CS-1196</t>
  </si>
  <si>
    <t>CS-1197</t>
  </si>
  <si>
    <t>CS-1198</t>
  </si>
  <si>
    <t>CS-1199</t>
  </si>
  <si>
    <t>CS-1200</t>
  </si>
  <si>
    <t>CS-1201</t>
  </si>
  <si>
    <t>CS-1202</t>
  </si>
  <si>
    <t>CS-1203</t>
  </si>
  <si>
    <t>CS-1204</t>
  </si>
  <si>
    <t>CS-1205</t>
  </si>
  <si>
    <t>CS-1206</t>
  </si>
  <si>
    <t>CS-1207</t>
  </si>
  <si>
    <t>CS-1208</t>
  </si>
  <si>
    <t>CS-1209</t>
  </si>
  <si>
    <t>CS-1210</t>
  </si>
  <si>
    <t>CS-1211</t>
  </si>
  <si>
    <t>CS-1212</t>
  </si>
  <si>
    <t>Pending</t>
  </si>
  <si>
    <t>CS-1213</t>
  </si>
  <si>
    <t>CS-1214</t>
  </si>
  <si>
    <t>CS-1215</t>
  </si>
  <si>
    <t>CS-1216</t>
  </si>
  <si>
    <t>CS-1217</t>
  </si>
  <si>
    <t>CS-1218</t>
  </si>
  <si>
    <t>CS-1219</t>
  </si>
  <si>
    <t>CS-1220</t>
  </si>
  <si>
    <t>CS-1221</t>
  </si>
  <si>
    <t>CS-1222</t>
  </si>
  <si>
    <t>CS-1223</t>
  </si>
  <si>
    <t>Done</t>
  </si>
  <si>
    <t>CS-1224</t>
  </si>
  <si>
    <t>CS-1225</t>
  </si>
  <si>
    <t>CS-1226</t>
  </si>
  <si>
    <t>CS-1227</t>
  </si>
  <si>
    <t>CS-1228</t>
  </si>
  <si>
    <t>CS-1229</t>
  </si>
  <si>
    <t>CS-1230</t>
  </si>
  <si>
    <t>CS-1231</t>
  </si>
  <si>
    <t>CS-1232</t>
  </si>
  <si>
    <t>CS-1233</t>
  </si>
  <si>
    <t>CS-1234</t>
  </si>
  <si>
    <t>CS-1235</t>
  </si>
  <si>
    <t>CS-1236</t>
  </si>
  <si>
    <t>Company X</t>
  </si>
  <si>
    <t>Company Y</t>
  </si>
  <si>
    <t>Agent A</t>
  </si>
  <si>
    <t>Agent B</t>
  </si>
  <si>
    <t>Agent C</t>
  </si>
  <si>
    <t>Agent D</t>
  </si>
  <si>
    <t>Agent E</t>
  </si>
  <si>
    <t>Agent F</t>
  </si>
  <si>
    <t>Executive</t>
  </si>
  <si>
    <t>Team Lead 1</t>
  </si>
  <si>
    <t>Team Lead 2</t>
  </si>
  <si>
    <t>Team Lead 3</t>
  </si>
  <si>
    <t>Client 045</t>
  </si>
  <si>
    <t>Client 059</t>
  </si>
  <si>
    <t>Client 065</t>
  </si>
  <si>
    <t>Client 066</t>
  </si>
  <si>
    <t>Client 078</t>
  </si>
  <si>
    <t>Client 131</t>
  </si>
  <si>
    <t>Client 136</t>
  </si>
  <si>
    <t>Client 178</t>
  </si>
  <si>
    <t>Client 180</t>
  </si>
  <si>
    <t>Client 186</t>
  </si>
  <si>
    <t>Client 192</t>
  </si>
  <si>
    <t>Client 209</t>
  </si>
  <si>
    <t>Client 210</t>
  </si>
  <si>
    <t>Client 220</t>
  </si>
  <si>
    <t>Client 224</t>
  </si>
  <si>
    <t>Client 229</t>
  </si>
  <si>
    <t>Client 230</t>
  </si>
  <si>
    <t>Client 231</t>
  </si>
  <si>
    <t>Client 233</t>
  </si>
  <si>
    <t>Client 239</t>
  </si>
  <si>
    <t>Client 241</t>
  </si>
  <si>
    <t>Client 243</t>
  </si>
  <si>
    <t>Client 246</t>
  </si>
  <si>
    <t>Client 247</t>
  </si>
  <si>
    <t>Client 250</t>
  </si>
  <si>
    <t>Client 255</t>
  </si>
  <si>
    <t>Client 257</t>
  </si>
  <si>
    <t>Client 266</t>
  </si>
  <si>
    <t>Client 268</t>
  </si>
  <si>
    <t>Client 269</t>
  </si>
  <si>
    <t>Client 270</t>
  </si>
  <si>
    <t>Client 271</t>
  </si>
  <si>
    <t>Client 272</t>
  </si>
  <si>
    <t>Client 276</t>
  </si>
  <si>
    <t>Client 278</t>
  </si>
  <si>
    <t>Client 279</t>
  </si>
  <si>
    <t>Client 280</t>
  </si>
  <si>
    <t>Client 281</t>
  </si>
  <si>
    <t>Client 283</t>
  </si>
  <si>
    <t>Client 284</t>
  </si>
  <si>
    <t>Client 285</t>
  </si>
  <si>
    <t>Client 286</t>
  </si>
  <si>
    <t>Client 287</t>
  </si>
  <si>
    <t>Client 288</t>
  </si>
  <si>
    <t>Client 289</t>
  </si>
  <si>
    <t>Client 290</t>
  </si>
  <si>
    <t>Client 292</t>
  </si>
  <si>
    <t>Client 293</t>
  </si>
  <si>
    <t>Client 294</t>
  </si>
  <si>
    <t>Client 295</t>
  </si>
  <si>
    <t>Client 296</t>
  </si>
  <si>
    <t>Client 297</t>
  </si>
  <si>
    <t>Client 298</t>
  </si>
  <si>
    <t>Client 299</t>
  </si>
  <si>
    <t>Client 301</t>
  </si>
  <si>
    <t>Client 302</t>
  </si>
  <si>
    <t>Client 303</t>
  </si>
  <si>
    <t>Client 304</t>
  </si>
  <si>
    <t>Client 305</t>
  </si>
  <si>
    <t>Client 306</t>
  </si>
  <si>
    <t>Client 307</t>
  </si>
  <si>
    <t>Client 308</t>
  </si>
  <si>
    <t>Client 309</t>
  </si>
  <si>
    <t>Client 310</t>
  </si>
  <si>
    <t>Client 311</t>
  </si>
  <si>
    <t>Client 312</t>
  </si>
  <si>
    <t>Client 313</t>
  </si>
  <si>
    <t>Client 314</t>
  </si>
  <si>
    <t>Client 315</t>
  </si>
  <si>
    <t>Client 316</t>
  </si>
  <si>
    <t>Client 317</t>
  </si>
  <si>
    <t>Client 318</t>
  </si>
  <si>
    <t>Client 319</t>
  </si>
  <si>
    <t>Client 320</t>
  </si>
  <si>
    <t>Client 321</t>
  </si>
  <si>
    <t>Client 322</t>
  </si>
  <si>
    <t>Client 323</t>
  </si>
  <si>
    <t>Client 324</t>
  </si>
  <si>
    <t>Client 325</t>
  </si>
  <si>
    <t>Client 326</t>
  </si>
  <si>
    <t>Client 327</t>
  </si>
  <si>
    <t>Client 328</t>
  </si>
  <si>
    <t>Client 329</t>
  </si>
  <si>
    <t>Client 330</t>
  </si>
  <si>
    <t>Client 331</t>
  </si>
  <si>
    <t>Client 332</t>
  </si>
  <si>
    <t>Client 333</t>
  </si>
  <si>
    <t>Client 334</t>
  </si>
  <si>
    <t>Client 335</t>
  </si>
  <si>
    <t>Client 336</t>
  </si>
  <si>
    <t>Client 337</t>
  </si>
  <si>
    <t>Client 338</t>
  </si>
  <si>
    <t>Client 339</t>
  </si>
  <si>
    <t>Client 340</t>
  </si>
  <si>
    <t>Client 341</t>
  </si>
  <si>
    <t>Client 342</t>
  </si>
  <si>
    <t>Client 343</t>
  </si>
  <si>
    <t>Client 344</t>
  </si>
  <si>
    <t>Client 345</t>
  </si>
  <si>
    <t>Client 346</t>
  </si>
  <si>
    <t>Client 347</t>
  </si>
  <si>
    <t>Client 348</t>
  </si>
  <si>
    <t>Client 349</t>
  </si>
  <si>
    <t>Client 350</t>
  </si>
  <si>
    <t>Client 351</t>
  </si>
  <si>
    <t>Client 352</t>
  </si>
  <si>
    <t>Client 353</t>
  </si>
  <si>
    <t>Client 354</t>
  </si>
  <si>
    <t>Client 355</t>
  </si>
  <si>
    <t>Client 356</t>
  </si>
  <si>
    <t>Client 357</t>
  </si>
  <si>
    <t>Client 358</t>
  </si>
  <si>
    <t>Client 359</t>
  </si>
  <si>
    <t>Client 360</t>
  </si>
  <si>
    <t>Client 361</t>
  </si>
  <si>
    <t>Client 362</t>
  </si>
  <si>
    <t>Client 363</t>
  </si>
  <si>
    <t>Client 364</t>
  </si>
  <si>
    <t>Client 365</t>
  </si>
  <si>
    <t>Client 366</t>
  </si>
  <si>
    <t>Client 367</t>
  </si>
  <si>
    <t>Client 368</t>
  </si>
  <si>
    <t>Client 369</t>
  </si>
  <si>
    <t>Client 370</t>
  </si>
  <si>
    <t>Client 371</t>
  </si>
  <si>
    <t>Client 372</t>
  </si>
  <si>
    <t>Client 373</t>
  </si>
  <si>
    <t>Client 374</t>
  </si>
  <si>
    <t>Client 375</t>
  </si>
  <si>
    <t>Client 376</t>
  </si>
  <si>
    <t>Client 377</t>
  </si>
  <si>
    <t>Client 378</t>
  </si>
  <si>
    <t>Client 379</t>
  </si>
  <si>
    <t>Client 380</t>
  </si>
  <si>
    <t>Client 381</t>
  </si>
  <si>
    <t>Client 382</t>
  </si>
  <si>
    <t>Client 383</t>
  </si>
  <si>
    <t>Client 384</t>
  </si>
  <si>
    <t>Client 385</t>
  </si>
  <si>
    <t>Client 386</t>
  </si>
  <si>
    <t>Client 387</t>
  </si>
  <si>
    <t>Client 388</t>
  </si>
  <si>
    <t>Client 390</t>
  </si>
  <si>
    <t>Client 391</t>
  </si>
  <si>
    <t>Client 392</t>
  </si>
  <si>
    <t>Client 393</t>
  </si>
  <si>
    <t>Client 394</t>
  </si>
  <si>
    <t>Client 395</t>
  </si>
  <si>
    <t>Client 396</t>
  </si>
  <si>
    <t>Client 397</t>
  </si>
  <si>
    <t>Client 398</t>
  </si>
  <si>
    <t>Client 399</t>
  </si>
  <si>
    <t>Client 400</t>
  </si>
  <si>
    <t>Client 401</t>
  </si>
  <si>
    <t>Client 402</t>
  </si>
  <si>
    <t>Client 403</t>
  </si>
  <si>
    <t>Client 404</t>
  </si>
  <si>
    <t>Client 405</t>
  </si>
  <si>
    <t>Client 406</t>
  </si>
  <si>
    <t>Client 407</t>
  </si>
  <si>
    <t>Client 408</t>
  </si>
  <si>
    <t>Client 409</t>
  </si>
  <si>
    <t>Client 410</t>
  </si>
  <si>
    <t>Client 411</t>
  </si>
  <si>
    <t>Client 412</t>
  </si>
  <si>
    <t>Client 413</t>
  </si>
  <si>
    <t>Client 414</t>
  </si>
  <si>
    <t>Client 415</t>
  </si>
  <si>
    <t>Client 416</t>
  </si>
  <si>
    <t>Client 417</t>
  </si>
  <si>
    <t>Client 418</t>
  </si>
  <si>
    <t>Client 419</t>
  </si>
  <si>
    <t>Client 420</t>
  </si>
  <si>
    <t>Client 421</t>
  </si>
  <si>
    <t>Client 422</t>
  </si>
  <si>
    <t>Client 423</t>
  </si>
  <si>
    <t>Client 424</t>
  </si>
  <si>
    <t>Client 425</t>
  </si>
  <si>
    <t>Client 426</t>
  </si>
  <si>
    <t>Client 427</t>
  </si>
  <si>
    <t>Client 428</t>
  </si>
  <si>
    <t>Client 429</t>
  </si>
  <si>
    <t>Client 430</t>
  </si>
  <si>
    <t>Client 431</t>
  </si>
  <si>
    <t>Client 432</t>
  </si>
  <si>
    <t>Client 433</t>
  </si>
  <si>
    <t>Client 434</t>
  </si>
  <si>
    <t>Client 435</t>
  </si>
  <si>
    <t>Client 436</t>
  </si>
  <si>
    <t>Client 437</t>
  </si>
  <si>
    <t>Client 438</t>
  </si>
  <si>
    <t>Client 439</t>
  </si>
  <si>
    <t>Client 440</t>
  </si>
  <si>
    <t>Client 441</t>
  </si>
  <si>
    <t>Client 442</t>
  </si>
  <si>
    <t>Client 443</t>
  </si>
  <si>
    <t>Client 444</t>
  </si>
  <si>
    <t>Client 445</t>
  </si>
  <si>
    <t>Client 446</t>
  </si>
  <si>
    <t>Client 447</t>
  </si>
  <si>
    <t>Client 448</t>
  </si>
  <si>
    <t>Client 449</t>
  </si>
  <si>
    <t>Client 450</t>
  </si>
  <si>
    <t>Client 451</t>
  </si>
  <si>
    <t>Client 452</t>
  </si>
  <si>
    <t>Client 453</t>
  </si>
  <si>
    <t>Client 454</t>
  </si>
  <si>
    <t>Client 455</t>
  </si>
  <si>
    <t>Client 456</t>
  </si>
  <si>
    <t>Client 457</t>
  </si>
  <si>
    <t>Client 458</t>
  </si>
  <si>
    <t>Client 459</t>
  </si>
  <si>
    <t>Client 460</t>
  </si>
  <si>
    <t>Client 461</t>
  </si>
  <si>
    <t>Client 462</t>
  </si>
  <si>
    <t>Client 463</t>
  </si>
  <si>
    <t>Client 464</t>
  </si>
  <si>
    <t>Client 465</t>
  </si>
  <si>
    <t>Client 466</t>
  </si>
  <si>
    <t>Client 467</t>
  </si>
  <si>
    <t>Client 468</t>
  </si>
  <si>
    <t>Client 469</t>
  </si>
  <si>
    <t>Client 470</t>
  </si>
  <si>
    <t>Client 471</t>
  </si>
  <si>
    <t>Client 472</t>
  </si>
  <si>
    <t>Client 473</t>
  </si>
  <si>
    <t>Client 474</t>
  </si>
  <si>
    <t>Client 475</t>
  </si>
  <si>
    <t>Client 476</t>
  </si>
  <si>
    <t>Client 477</t>
  </si>
  <si>
    <t>Client 478</t>
  </si>
  <si>
    <t>Client 479</t>
  </si>
  <si>
    <t>Client 480</t>
  </si>
  <si>
    <t>Client 481</t>
  </si>
  <si>
    <t>Client 482</t>
  </si>
  <si>
    <t>Client 483</t>
  </si>
  <si>
    <t>Client 484</t>
  </si>
  <si>
    <t>Client 485</t>
  </si>
  <si>
    <t>Client 486</t>
  </si>
  <si>
    <t>Client 487</t>
  </si>
  <si>
    <t>Client 488</t>
  </si>
  <si>
    <t>Client 489</t>
  </si>
  <si>
    <t>Client 490</t>
  </si>
  <si>
    <t>Client 491</t>
  </si>
  <si>
    <t>Client 492</t>
  </si>
  <si>
    <t>Client 493</t>
  </si>
  <si>
    <t>Client 494</t>
  </si>
  <si>
    <t>Client 495</t>
  </si>
  <si>
    <t>Client 496</t>
  </si>
  <si>
    <t>Client 497</t>
  </si>
  <si>
    <t>Client 498</t>
  </si>
  <si>
    <t>Client 499</t>
  </si>
  <si>
    <t>Client 500</t>
  </si>
  <si>
    <t>Client 501</t>
  </si>
  <si>
    <t>Client 502</t>
  </si>
  <si>
    <t>Client 503</t>
  </si>
  <si>
    <t>Client 504</t>
  </si>
  <si>
    <t>Client 505</t>
  </si>
  <si>
    <t>Client 506</t>
  </si>
  <si>
    <t>Client 507</t>
  </si>
  <si>
    <t>Client 508</t>
  </si>
  <si>
    <t>Client 509</t>
  </si>
  <si>
    <t>Client 510</t>
  </si>
  <si>
    <t>Client 511</t>
  </si>
  <si>
    <t>Client 512</t>
  </si>
  <si>
    <t>Client 513</t>
  </si>
  <si>
    <t>Client 514</t>
  </si>
  <si>
    <t>Client 515</t>
  </si>
  <si>
    <t>Client 516</t>
  </si>
  <si>
    <t>Client 517</t>
  </si>
  <si>
    <t>Client 518</t>
  </si>
  <si>
    <t>Client 519</t>
  </si>
  <si>
    <t>Client 520</t>
  </si>
  <si>
    <t>Client 521</t>
  </si>
  <si>
    <t>Client 522</t>
  </si>
  <si>
    <t>Client 523</t>
  </si>
  <si>
    <t>Client 524</t>
  </si>
  <si>
    <t>Client 525</t>
  </si>
  <si>
    <t>Client 526</t>
  </si>
  <si>
    <t>Client 527</t>
  </si>
  <si>
    <t>Client 528</t>
  </si>
  <si>
    <t>Client 529</t>
  </si>
  <si>
    <t>Client 530</t>
  </si>
  <si>
    <t>Client 531</t>
  </si>
  <si>
    <t>Client 532</t>
  </si>
  <si>
    <t>Client 533</t>
  </si>
  <si>
    <t>Client 534</t>
  </si>
  <si>
    <t>Client 535</t>
  </si>
  <si>
    <t>Client 536</t>
  </si>
  <si>
    <t>Client 537</t>
  </si>
  <si>
    <t>Client 538</t>
  </si>
  <si>
    <t>Client 539</t>
  </si>
  <si>
    <t>Client 540</t>
  </si>
  <si>
    <t>Client 541</t>
  </si>
  <si>
    <t>Client 542</t>
  </si>
  <si>
    <t>Client 543</t>
  </si>
  <si>
    <t>Client 544</t>
  </si>
  <si>
    <t>Client 545</t>
  </si>
  <si>
    <t>Client 546</t>
  </si>
  <si>
    <t>Client 547</t>
  </si>
  <si>
    <t>Client 548</t>
  </si>
  <si>
    <t>Client 549</t>
  </si>
  <si>
    <t>Client 550</t>
  </si>
  <si>
    <t>Client 551</t>
  </si>
  <si>
    <t>Client 552</t>
  </si>
  <si>
    <t>Client 553</t>
  </si>
  <si>
    <t>Client 554</t>
  </si>
  <si>
    <t>Client 555</t>
  </si>
  <si>
    <t>Client 556</t>
  </si>
  <si>
    <t>Client 557</t>
  </si>
  <si>
    <t>Client 558</t>
  </si>
  <si>
    <t>Client 559</t>
  </si>
  <si>
    <t>Client 560</t>
  </si>
  <si>
    <t>Client 561</t>
  </si>
  <si>
    <t>Client 562</t>
  </si>
  <si>
    <t>Client 563</t>
  </si>
  <si>
    <t>Client 564</t>
  </si>
  <si>
    <t>Client 565</t>
  </si>
  <si>
    <t>Client 566</t>
  </si>
  <si>
    <t>Client 567</t>
  </si>
  <si>
    <t>Client 568</t>
  </si>
  <si>
    <t>Client 569</t>
  </si>
  <si>
    <t>Client 570</t>
  </si>
  <si>
    <t>Client 571</t>
  </si>
  <si>
    <t>Client 572</t>
  </si>
  <si>
    <t>Client 573</t>
  </si>
  <si>
    <t>Client 574</t>
  </si>
  <si>
    <t>Client 575</t>
  </si>
  <si>
    <t>Client 576</t>
  </si>
  <si>
    <t>Client 577</t>
  </si>
  <si>
    <t>Client 578</t>
  </si>
  <si>
    <t>Client 579</t>
  </si>
  <si>
    <t>Client 580</t>
  </si>
  <si>
    <t>Client 581</t>
  </si>
  <si>
    <t>Client 582</t>
  </si>
  <si>
    <t>Client 583</t>
  </si>
  <si>
    <t>Client 584</t>
  </si>
  <si>
    <t>Client 585</t>
  </si>
  <si>
    <t>Client 586</t>
  </si>
  <si>
    <t>Client 587</t>
  </si>
  <si>
    <t>Client 588</t>
  </si>
  <si>
    <t>Client 589</t>
  </si>
  <si>
    <t>Client 590</t>
  </si>
  <si>
    <t>Client 591</t>
  </si>
  <si>
    <t>Client 592</t>
  </si>
  <si>
    <t>Client 593</t>
  </si>
  <si>
    <t>Client 594</t>
  </si>
  <si>
    <t>Client 595</t>
  </si>
  <si>
    <t>Client 596</t>
  </si>
  <si>
    <t>Client 597</t>
  </si>
  <si>
    <t>Client 598</t>
  </si>
  <si>
    <t>Client 599</t>
  </si>
  <si>
    <t>Client 600</t>
  </si>
  <si>
    <t>Client 601</t>
  </si>
  <si>
    <t>Client 602</t>
  </si>
  <si>
    <t>Client 603</t>
  </si>
  <si>
    <t>Client 604</t>
  </si>
  <si>
    <t>Client 605</t>
  </si>
  <si>
    <t>Client 606</t>
  </si>
  <si>
    <t>Client 607</t>
  </si>
  <si>
    <t>Client 608</t>
  </si>
  <si>
    <t>Client 609</t>
  </si>
  <si>
    <t>Client 610</t>
  </si>
  <si>
    <t>Client 611</t>
  </si>
  <si>
    <t>Client 612</t>
  </si>
  <si>
    <t>Client 613</t>
  </si>
  <si>
    <t>Client 614</t>
  </si>
  <si>
    <t>Client 615</t>
  </si>
  <si>
    <t>Client 616</t>
  </si>
  <si>
    <t>Client 617</t>
  </si>
  <si>
    <t>Client 618</t>
  </si>
  <si>
    <t>Client 619</t>
  </si>
  <si>
    <t>Client 620</t>
  </si>
  <si>
    <t>Client 621</t>
  </si>
  <si>
    <t>Client 622</t>
  </si>
  <si>
    <t>Client 623</t>
  </si>
  <si>
    <t>Client 624</t>
  </si>
  <si>
    <t>Client 625</t>
  </si>
  <si>
    <t>Client 626</t>
  </si>
  <si>
    <t>Client 627</t>
  </si>
  <si>
    <t>Client 628</t>
  </si>
  <si>
    <t>Client 629</t>
  </si>
  <si>
    <t>Client 630</t>
  </si>
  <si>
    <t>Client 631</t>
  </si>
  <si>
    <t>Client 632</t>
  </si>
  <si>
    <t>Client 633</t>
  </si>
  <si>
    <t>Client 634</t>
  </si>
  <si>
    <t>Client 635</t>
  </si>
  <si>
    <t>Client 636</t>
  </si>
  <si>
    <t>Client 637</t>
  </si>
  <si>
    <t>Client 638</t>
  </si>
  <si>
    <t>Client 639</t>
  </si>
  <si>
    <t>Client 640</t>
  </si>
  <si>
    <t>Client 641</t>
  </si>
  <si>
    <t>Client 642</t>
  </si>
  <si>
    <t>Client 643</t>
  </si>
  <si>
    <t>Client 644</t>
  </si>
  <si>
    <t>Client 645</t>
  </si>
  <si>
    <t>Client 646</t>
  </si>
  <si>
    <t>Client 647</t>
  </si>
  <si>
    <t>Client 648</t>
  </si>
  <si>
    <t>Client 649</t>
  </si>
  <si>
    <t>Client 650</t>
  </si>
  <si>
    <t>Client 651</t>
  </si>
  <si>
    <t>Client 652</t>
  </si>
  <si>
    <t>Client 653</t>
  </si>
  <si>
    <t>Client 654</t>
  </si>
  <si>
    <t>Client 655</t>
  </si>
  <si>
    <t>Client 656</t>
  </si>
  <si>
    <t>Client 657</t>
  </si>
  <si>
    <t>Client 658</t>
  </si>
  <si>
    <t>Client 659</t>
  </si>
  <si>
    <t>Client 660</t>
  </si>
  <si>
    <t>Client 661</t>
  </si>
  <si>
    <t>Client 662</t>
  </si>
  <si>
    <t>Client 663</t>
  </si>
  <si>
    <t>Client 664</t>
  </si>
  <si>
    <t>Client 665</t>
  </si>
  <si>
    <t>Client 666</t>
  </si>
  <si>
    <t>Client 667</t>
  </si>
  <si>
    <t>Client 668</t>
  </si>
  <si>
    <t>Client 669</t>
  </si>
  <si>
    <t>Client 670</t>
  </si>
  <si>
    <t>Client 671</t>
  </si>
  <si>
    <t>Client 672</t>
  </si>
  <si>
    <t>Client 673</t>
  </si>
  <si>
    <t>Client 674</t>
  </si>
  <si>
    <t>Client 675</t>
  </si>
  <si>
    <t>Client 676</t>
  </si>
  <si>
    <t>Client 677</t>
  </si>
  <si>
    <t>Client 678</t>
  </si>
  <si>
    <t>Client 679</t>
  </si>
  <si>
    <t>Client 680</t>
  </si>
  <si>
    <t>Client 681</t>
  </si>
  <si>
    <t>Client 682</t>
  </si>
  <si>
    <t>Client 683</t>
  </si>
  <si>
    <t>Client 684</t>
  </si>
  <si>
    <t>Client 685</t>
  </si>
  <si>
    <t>Client 686</t>
  </si>
  <si>
    <t>Client 687</t>
  </si>
  <si>
    <t>Client 688</t>
  </si>
  <si>
    <t>Client 689</t>
  </si>
  <si>
    <t>Client 690</t>
  </si>
  <si>
    <t>Client 691</t>
  </si>
  <si>
    <t>Client 692</t>
  </si>
  <si>
    <t>Client 693</t>
  </si>
  <si>
    <t>Client 694</t>
  </si>
  <si>
    <t>Client 695</t>
  </si>
  <si>
    <t>Client 696</t>
  </si>
  <si>
    <t>Client 697</t>
  </si>
  <si>
    <t>Client 698</t>
  </si>
  <si>
    <t>Client 699</t>
  </si>
  <si>
    <t>Client 700</t>
  </si>
  <si>
    <t>Client 701</t>
  </si>
  <si>
    <t>Client 702</t>
  </si>
  <si>
    <t>Client 703</t>
  </si>
  <si>
    <t>Client 704</t>
  </si>
  <si>
    <t>Client 705</t>
  </si>
  <si>
    <t>Client 706</t>
  </si>
  <si>
    <t>Client 707</t>
  </si>
  <si>
    <t>Client 708</t>
  </si>
  <si>
    <t>Client 709</t>
  </si>
  <si>
    <t>Client 710</t>
  </si>
  <si>
    <t>Client 711</t>
  </si>
  <si>
    <t>Client 712</t>
  </si>
  <si>
    <t>Client 713</t>
  </si>
  <si>
    <t>Client 714</t>
  </si>
  <si>
    <t>Client 715</t>
  </si>
  <si>
    <t>Client 716</t>
  </si>
  <si>
    <t>Client 717</t>
  </si>
  <si>
    <t>Client 718</t>
  </si>
  <si>
    <t>Client 719</t>
  </si>
  <si>
    <t>Client 720</t>
  </si>
  <si>
    <t>Client 721</t>
  </si>
  <si>
    <t>Client 722</t>
  </si>
  <si>
    <t>Client 723</t>
  </si>
  <si>
    <t>Client 724</t>
  </si>
  <si>
    <t>Client 725</t>
  </si>
  <si>
    <t>Client 726</t>
  </si>
  <si>
    <t>Client 727</t>
  </si>
  <si>
    <t>Client 728</t>
  </si>
  <si>
    <t>Client 729</t>
  </si>
  <si>
    <t>Client 730</t>
  </si>
  <si>
    <t>Client 731</t>
  </si>
  <si>
    <t>Client 732</t>
  </si>
  <si>
    <t>Client 733</t>
  </si>
  <si>
    <t>Client 734</t>
  </si>
  <si>
    <t>Client 735</t>
  </si>
  <si>
    <t>Client 736</t>
  </si>
  <si>
    <t>Client 737</t>
  </si>
  <si>
    <t>Client 738</t>
  </si>
  <si>
    <t>Client 739</t>
  </si>
  <si>
    <t>Client 740</t>
  </si>
  <si>
    <t>Client 741</t>
  </si>
  <si>
    <t>Client 742</t>
  </si>
  <si>
    <t>Client 743</t>
  </si>
  <si>
    <t>Client 744</t>
  </si>
  <si>
    <t>Client 745</t>
  </si>
  <si>
    <t>Client 746</t>
  </si>
  <si>
    <t>Client 747</t>
  </si>
  <si>
    <t>Client 748</t>
  </si>
  <si>
    <t>Client 749</t>
  </si>
  <si>
    <t>Client 750</t>
  </si>
  <si>
    <t>Client 751</t>
  </si>
  <si>
    <t>Client 752</t>
  </si>
  <si>
    <t>Client 753</t>
  </si>
  <si>
    <t>Client 754</t>
  </si>
  <si>
    <t>Client 755</t>
  </si>
  <si>
    <t>Client 756</t>
  </si>
  <si>
    <t>Client 757</t>
  </si>
  <si>
    <t>Client 758</t>
  </si>
  <si>
    <t>Client 759</t>
  </si>
  <si>
    <t>Client 760</t>
  </si>
  <si>
    <t>Client 761</t>
  </si>
  <si>
    <t>Client 762</t>
  </si>
  <si>
    <t>Client 763</t>
  </si>
  <si>
    <t>Client 764</t>
  </si>
  <si>
    <t>Client 765</t>
  </si>
  <si>
    <t>Client 766</t>
  </si>
  <si>
    <t>Client 767</t>
  </si>
  <si>
    <t>Client 768</t>
  </si>
  <si>
    <t>Client 769</t>
  </si>
  <si>
    <t>Client 770</t>
  </si>
  <si>
    <t>Client 771</t>
  </si>
  <si>
    <t>Client 772</t>
  </si>
  <si>
    <t>Client 773</t>
  </si>
  <si>
    <t>Client 774</t>
  </si>
  <si>
    <t>Client 775</t>
  </si>
  <si>
    <t>Client 776</t>
  </si>
  <si>
    <t>Client 777</t>
  </si>
  <si>
    <t>Client 778</t>
  </si>
  <si>
    <t>Client 779</t>
  </si>
  <si>
    <t>Client 780</t>
  </si>
  <si>
    <t>Client 781</t>
  </si>
  <si>
    <t>Client 782</t>
  </si>
  <si>
    <t>Client 783</t>
  </si>
  <si>
    <t>Client 784</t>
  </si>
  <si>
    <t>Client 785</t>
  </si>
  <si>
    <t>Client 786</t>
  </si>
  <si>
    <t>Client 787</t>
  </si>
  <si>
    <t>Client 788</t>
  </si>
  <si>
    <t>Client 789</t>
  </si>
  <si>
    <t>Client 790</t>
  </si>
  <si>
    <t>Client 791</t>
  </si>
  <si>
    <t>Client 792</t>
  </si>
  <si>
    <t>Client 793</t>
  </si>
  <si>
    <t>Client 794</t>
  </si>
  <si>
    <t>Client 795</t>
  </si>
  <si>
    <t>Client 796</t>
  </si>
  <si>
    <t>Client 797</t>
  </si>
  <si>
    <t>Client 798</t>
  </si>
  <si>
    <t>Client 799</t>
  </si>
  <si>
    <t>Client 800</t>
  </si>
  <si>
    <t>Client 801</t>
  </si>
  <si>
    <t>Client 802</t>
  </si>
  <si>
    <t>Client 803</t>
  </si>
  <si>
    <t>Client 804</t>
  </si>
  <si>
    <t>Client 805</t>
  </si>
  <si>
    <t>Client 806</t>
  </si>
  <si>
    <t>Client 807</t>
  </si>
  <si>
    <t>Client 808</t>
  </si>
  <si>
    <t>Client 809</t>
  </si>
  <si>
    <t>Client 810</t>
  </si>
  <si>
    <t>Client 811</t>
  </si>
  <si>
    <t>Client 812</t>
  </si>
  <si>
    <t>Client 813</t>
  </si>
  <si>
    <t>Client 814</t>
  </si>
  <si>
    <t>Client 815</t>
  </si>
  <si>
    <t>Client 816</t>
  </si>
  <si>
    <t>Client 817</t>
  </si>
  <si>
    <t>Client 818</t>
  </si>
  <si>
    <t>Client 819</t>
  </si>
  <si>
    <t>Client 820</t>
  </si>
  <si>
    <t>Client 821</t>
  </si>
  <si>
    <t>Client 822</t>
  </si>
  <si>
    <t>Client 823</t>
  </si>
  <si>
    <t>Client 824</t>
  </si>
  <si>
    <t>Client 825</t>
  </si>
  <si>
    <t>Client 826</t>
  </si>
  <si>
    <t>Client 827</t>
  </si>
  <si>
    <t>Client 828</t>
  </si>
  <si>
    <t>Client 829</t>
  </si>
  <si>
    <t>Client 830</t>
  </si>
  <si>
    <t>Client 831</t>
  </si>
  <si>
    <t>Client 832</t>
  </si>
  <si>
    <t>Client 833</t>
  </si>
  <si>
    <t>Client 834</t>
  </si>
  <si>
    <t>Client 835</t>
  </si>
  <si>
    <t>Client 836</t>
  </si>
  <si>
    <t>Client 837</t>
  </si>
  <si>
    <t>Client 838</t>
  </si>
  <si>
    <t>Client 839</t>
  </si>
  <si>
    <t>Client 840</t>
  </si>
  <si>
    <t>Client 841</t>
  </si>
  <si>
    <t>Client 842</t>
  </si>
  <si>
    <t>Client 843</t>
  </si>
  <si>
    <t>Client 844</t>
  </si>
  <si>
    <t>Client 845</t>
  </si>
  <si>
    <t>Client 846</t>
  </si>
  <si>
    <t>Client 847</t>
  </si>
  <si>
    <t>Client 848</t>
  </si>
  <si>
    <t>Client 849</t>
  </si>
  <si>
    <t>Client 850</t>
  </si>
  <si>
    <t>Client 851</t>
  </si>
  <si>
    <t>Client 852</t>
  </si>
  <si>
    <t>Client 853</t>
  </si>
  <si>
    <t>Client 854</t>
  </si>
  <si>
    <t>Client 855</t>
  </si>
  <si>
    <t>Client 856</t>
  </si>
  <si>
    <t>Client 857</t>
  </si>
  <si>
    <t>Client 858</t>
  </si>
  <si>
    <t>Client 859</t>
  </si>
  <si>
    <t>Client 860</t>
  </si>
  <si>
    <t>Client 861</t>
  </si>
  <si>
    <t>Client 862</t>
  </si>
  <si>
    <t>Client 863</t>
  </si>
  <si>
    <t>Client 864</t>
  </si>
  <si>
    <t>Client 865</t>
  </si>
  <si>
    <t>Client 866</t>
  </si>
  <si>
    <t>Client 867</t>
  </si>
  <si>
    <t>Client 868</t>
  </si>
  <si>
    <t>Client 869</t>
  </si>
  <si>
    <t>Client 870</t>
  </si>
  <si>
    <t>Client 871</t>
  </si>
  <si>
    <t>Client 872</t>
  </si>
  <si>
    <t>Client 873</t>
  </si>
  <si>
    <t>Client 874</t>
  </si>
  <si>
    <t>Client 875</t>
  </si>
  <si>
    <t>Client 876</t>
  </si>
  <si>
    <t>Client 877</t>
  </si>
  <si>
    <t>Client 878</t>
  </si>
  <si>
    <t>Client 879</t>
  </si>
  <si>
    <t>Client 880</t>
  </si>
  <si>
    <t>Client 881</t>
  </si>
  <si>
    <t>Client 882</t>
  </si>
  <si>
    <t>Client 883</t>
  </si>
  <si>
    <t>Client 884</t>
  </si>
  <si>
    <t>Client 885</t>
  </si>
  <si>
    <t>Client 886</t>
  </si>
  <si>
    <t>Client 887</t>
  </si>
  <si>
    <t>Client 888</t>
  </si>
  <si>
    <t>Client 889</t>
  </si>
  <si>
    <t>Client 890</t>
  </si>
  <si>
    <t>Client 891</t>
  </si>
  <si>
    <t>Client 892</t>
  </si>
  <si>
    <t>Client 893</t>
  </si>
  <si>
    <t>Client 894</t>
  </si>
  <si>
    <t>Client 895</t>
  </si>
  <si>
    <t>Client 896</t>
  </si>
  <si>
    <t>Client 897</t>
  </si>
  <si>
    <t>Client 898</t>
  </si>
  <si>
    <t>Client 899</t>
  </si>
  <si>
    <t>Client 900</t>
  </si>
  <si>
    <t>Client 901</t>
  </si>
  <si>
    <t>Client 902</t>
  </si>
  <si>
    <t>Client 903</t>
  </si>
  <si>
    <t>Client 904</t>
  </si>
  <si>
    <t>Client 905</t>
  </si>
  <si>
    <t>Client 906</t>
  </si>
  <si>
    <t>Client 907</t>
  </si>
  <si>
    <t>Client 908</t>
  </si>
  <si>
    <t>Client 909</t>
  </si>
  <si>
    <t>Client 910</t>
  </si>
  <si>
    <t>Client 911</t>
  </si>
  <si>
    <t>Client 912</t>
  </si>
  <si>
    <t>Client 913</t>
  </si>
  <si>
    <t>Client 914</t>
  </si>
  <si>
    <t>Client 915</t>
  </si>
  <si>
    <t>Client 916</t>
  </si>
  <si>
    <t>Client 917</t>
  </si>
  <si>
    <t>Client 918</t>
  </si>
  <si>
    <t>Client 919</t>
  </si>
  <si>
    <t>Client 920</t>
  </si>
  <si>
    <t>Client 921</t>
  </si>
  <si>
    <t>Client 922</t>
  </si>
  <si>
    <t>Client 923</t>
  </si>
  <si>
    <t>Client 924</t>
  </si>
  <si>
    <t>Client 925</t>
  </si>
  <si>
    <t>Client 926</t>
  </si>
  <si>
    <t>Client 927</t>
  </si>
  <si>
    <t>Client 928</t>
  </si>
  <si>
    <t>Client 929</t>
  </si>
  <si>
    <t>Client 930</t>
  </si>
  <si>
    <t>Client 931</t>
  </si>
  <si>
    <t>Client 932</t>
  </si>
  <si>
    <t>Client 933</t>
  </si>
  <si>
    <t>Client 934</t>
  </si>
  <si>
    <t>Client 935</t>
  </si>
  <si>
    <t>Client 936</t>
  </si>
  <si>
    <t>Client 937</t>
  </si>
  <si>
    <t>Client 938</t>
  </si>
  <si>
    <t>Client 939</t>
  </si>
  <si>
    <t>Client 940</t>
  </si>
  <si>
    <t>Client 941</t>
  </si>
  <si>
    <t>Client 942</t>
  </si>
  <si>
    <t>Client 943</t>
  </si>
  <si>
    <t>Client 944</t>
  </si>
  <si>
    <t>Client 945</t>
  </si>
  <si>
    <t>Client 946</t>
  </si>
  <si>
    <t>Client 947</t>
  </si>
  <si>
    <t>Client 948</t>
  </si>
  <si>
    <t>Client 949</t>
  </si>
  <si>
    <t>Client 950</t>
  </si>
  <si>
    <t>Client 951</t>
  </si>
  <si>
    <t>Client 952</t>
  </si>
  <si>
    <t>Client 953</t>
  </si>
  <si>
    <t>Client 954</t>
  </si>
  <si>
    <t>Client 955</t>
  </si>
  <si>
    <t>Client 956</t>
  </si>
  <si>
    <t>Client 957</t>
  </si>
  <si>
    <t>Client 958</t>
  </si>
  <si>
    <t>Client 959</t>
  </si>
  <si>
    <t>Client 960</t>
  </si>
  <si>
    <t>Client 961</t>
  </si>
  <si>
    <t>Client 962</t>
  </si>
  <si>
    <t>Client 963</t>
  </si>
  <si>
    <t>Client 964</t>
  </si>
  <si>
    <t>Client 965</t>
  </si>
  <si>
    <t>Client 966</t>
  </si>
  <si>
    <t>Client 967</t>
  </si>
  <si>
    <t>Client 968</t>
  </si>
  <si>
    <t>Client 969</t>
  </si>
  <si>
    <t>Client 970</t>
  </si>
  <si>
    <t>Client 971</t>
  </si>
  <si>
    <t>Client 972</t>
  </si>
  <si>
    <t>Client 973</t>
  </si>
  <si>
    <t>Client 974</t>
  </si>
  <si>
    <t>Client 975</t>
  </si>
  <si>
    <t>Client 976</t>
  </si>
  <si>
    <t>Client 977</t>
  </si>
  <si>
    <t>Client 978</t>
  </si>
  <si>
    <t>Client 979</t>
  </si>
  <si>
    <t>Client 980</t>
  </si>
  <si>
    <t>Client 981</t>
  </si>
  <si>
    <t>Client 982</t>
  </si>
  <si>
    <t>Client 983</t>
  </si>
  <si>
    <t>Client 984</t>
  </si>
  <si>
    <t>Client 985</t>
  </si>
  <si>
    <t>Client 986</t>
  </si>
  <si>
    <t>Client 987</t>
  </si>
  <si>
    <t>Client 988</t>
  </si>
  <si>
    <t>Client 989</t>
  </si>
  <si>
    <t>Client 990</t>
  </si>
  <si>
    <t>Client 991</t>
  </si>
  <si>
    <t>Client 992</t>
  </si>
  <si>
    <t>Client 993</t>
  </si>
  <si>
    <t>Client 994</t>
  </si>
  <si>
    <t>Client 995</t>
  </si>
  <si>
    <t>Client 996</t>
  </si>
  <si>
    <t>Client 997</t>
  </si>
  <si>
    <t>Client 998</t>
  </si>
  <si>
    <t>Client 999</t>
  </si>
  <si>
    <t>Client 1000</t>
  </si>
  <si>
    <t>Client 1001</t>
  </si>
  <si>
    <t>Client 1002</t>
  </si>
  <si>
    <t>Client 1003</t>
  </si>
  <si>
    <t>Client 1004</t>
  </si>
  <si>
    <t>Client 1005</t>
  </si>
  <si>
    <t>Client 1006</t>
  </si>
  <si>
    <t>Client 1007</t>
  </si>
  <si>
    <t>Client 1008</t>
  </si>
  <si>
    <t>Client 1009</t>
  </si>
  <si>
    <t>Client 1010</t>
  </si>
  <si>
    <t>Client 1011</t>
  </si>
  <si>
    <t>Client 1012</t>
  </si>
  <si>
    <t>Client 1013</t>
  </si>
  <si>
    <t>Client 1014</t>
  </si>
  <si>
    <t>Client 1015</t>
  </si>
  <si>
    <t>Client 1016</t>
  </si>
  <si>
    <t>Client 1017</t>
  </si>
  <si>
    <t>Client 1018</t>
  </si>
  <si>
    <t>Client 1019</t>
  </si>
  <si>
    <t>Client 1020</t>
  </si>
  <si>
    <t>Client 1021</t>
  </si>
  <si>
    <t>Client 1022</t>
  </si>
  <si>
    <t>Client 1023</t>
  </si>
  <si>
    <t>Client 1024</t>
  </si>
  <si>
    <t>Client 1025</t>
  </si>
  <si>
    <t>Client 1026</t>
  </si>
  <si>
    <t>Client 1027</t>
  </si>
  <si>
    <t>Client 1028</t>
  </si>
  <si>
    <t>Client 1029</t>
  </si>
  <si>
    <t>Client 1030</t>
  </si>
  <si>
    <t>Client 1031</t>
  </si>
  <si>
    <t>Client 1032</t>
  </si>
  <si>
    <t>Client 1033</t>
  </si>
  <si>
    <t>Client 1034</t>
  </si>
  <si>
    <t>Client 1035</t>
  </si>
  <si>
    <t>Client 1036</t>
  </si>
  <si>
    <t>Client 1037</t>
  </si>
  <si>
    <t>Client 1038</t>
  </si>
  <si>
    <t>Client 1039</t>
  </si>
  <si>
    <t>Client 1040</t>
  </si>
  <si>
    <t>Client 1041</t>
  </si>
  <si>
    <t>Client 1042</t>
  </si>
  <si>
    <t>Client 1043</t>
  </si>
  <si>
    <t>Client 1044</t>
  </si>
  <si>
    <t>Client 1045</t>
  </si>
  <si>
    <t>Client 1046</t>
  </si>
  <si>
    <t>Client 1047</t>
  </si>
  <si>
    <t>Client 1048</t>
  </si>
  <si>
    <t>Client 1049</t>
  </si>
  <si>
    <t>Client 1050</t>
  </si>
  <si>
    <t>Client 1051</t>
  </si>
  <si>
    <t>Client 1052</t>
  </si>
  <si>
    <t>Client 1053</t>
  </si>
  <si>
    <t>Client 1054</t>
  </si>
  <si>
    <t>Client 1055</t>
  </si>
  <si>
    <t>Client 1056</t>
  </si>
  <si>
    <t>Client 1057</t>
  </si>
  <si>
    <t>Client 1058</t>
  </si>
  <si>
    <t>Client 1059</t>
  </si>
  <si>
    <t>Client 1060</t>
  </si>
  <si>
    <t>Client 1061</t>
  </si>
  <si>
    <t>Client 1062</t>
  </si>
  <si>
    <t>Client 1063</t>
  </si>
  <si>
    <t>Client 1064</t>
  </si>
  <si>
    <t>Client 1065</t>
  </si>
  <si>
    <t>Client 1066</t>
  </si>
  <si>
    <t>Client 1067</t>
  </si>
  <si>
    <t>Client 1068</t>
  </si>
  <si>
    <t>Client 1069</t>
  </si>
  <si>
    <t>Client 1070</t>
  </si>
  <si>
    <t>Client 1071</t>
  </si>
  <si>
    <t>Client 1072</t>
  </si>
  <si>
    <t>Client 1073</t>
  </si>
  <si>
    <t>Client 1074</t>
  </si>
  <si>
    <t>Client 1075</t>
  </si>
  <si>
    <t>Client 1076</t>
  </si>
  <si>
    <t>Client 1077</t>
  </si>
  <si>
    <t>Client 1078</t>
  </si>
  <si>
    <t>Client 1079</t>
  </si>
  <si>
    <t>Client 1080</t>
  </si>
  <si>
    <t>Client 1081</t>
  </si>
  <si>
    <t>Client 1082</t>
  </si>
  <si>
    <t>Client 1083</t>
  </si>
  <si>
    <t>Client 1084</t>
  </si>
  <si>
    <t>Client 1085</t>
  </si>
  <si>
    <t>Client 1086</t>
  </si>
  <si>
    <t>Client 1087</t>
  </si>
  <si>
    <t>Client 1088</t>
  </si>
  <si>
    <t>Client 1089</t>
  </si>
  <si>
    <t>Client 1090</t>
  </si>
  <si>
    <t>Client 1091</t>
  </si>
  <si>
    <t>Client 1092</t>
  </si>
  <si>
    <t>Client 1093</t>
  </si>
  <si>
    <t>Client 1094</t>
  </si>
  <si>
    <t>Client 1095</t>
  </si>
  <si>
    <t>Client 1096</t>
  </si>
  <si>
    <t>Client 1097</t>
  </si>
  <si>
    <t>Client 1098</t>
  </si>
  <si>
    <t>Client 1099</t>
  </si>
  <si>
    <t>Client 1100</t>
  </si>
  <si>
    <t>Client 1101</t>
  </si>
  <si>
    <t>Client 1103</t>
  </si>
  <si>
    <t>Client 1104</t>
  </si>
  <si>
    <t>Client 1105</t>
  </si>
  <si>
    <t>Client 1106</t>
  </si>
  <si>
    <t>Client 1107</t>
  </si>
  <si>
    <t>Client 1108</t>
  </si>
  <si>
    <t>Client 1109</t>
  </si>
  <si>
    <t>Client 1110</t>
  </si>
  <si>
    <t>Client 1111</t>
  </si>
  <si>
    <t>Client 1112</t>
  </si>
  <si>
    <t>Client 1113</t>
  </si>
  <si>
    <t>Client 1114</t>
  </si>
  <si>
    <t>Client 1115</t>
  </si>
  <si>
    <t>Client 1116</t>
  </si>
  <si>
    <t>Client 1117</t>
  </si>
  <si>
    <t>Client 1118</t>
  </si>
  <si>
    <t>Client 1119</t>
  </si>
  <si>
    <t>Client 1120</t>
  </si>
  <si>
    <t>Client 1121</t>
  </si>
  <si>
    <t>Client 1122</t>
  </si>
  <si>
    <t>Client 1123</t>
  </si>
  <si>
    <t>Client 1124</t>
  </si>
  <si>
    <t>Client 1125</t>
  </si>
  <si>
    <t>Client 1126</t>
  </si>
  <si>
    <t>Client 1127</t>
  </si>
  <si>
    <t>Client 1128</t>
  </si>
  <si>
    <t>Client 1129</t>
  </si>
  <si>
    <t>Client 1130</t>
  </si>
  <si>
    <t>Client 1131</t>
  </si>
  <si>
    <t>Client 1132</t>
  </si>
  <si>
    <t>Client 1133</t>
  </si>
  <si>
    <t>Client 1134</t>
  </si>
  <si>
    <t>Client 1135</t>
  </si>
  <si>
    <t>Client 1136</t>
  </si>
  <si>
    <t>Client 1137</t>
  </si>
  <si>
    <t>Client 1138</t>
  </si>
  <si>
    <t>Client 1139</t>
  </si>
  <si>
    <t>Client 1140</t>
  </si>
  <si>
    <t>Client 1141</t>
  </si>
  <si>
    <t>Client 1142</t>
  </si>
  <si>
    <t>Client 1143</t>
  </si>
  <si>
    <t>Client 1144</t>
  </si>
  <si>
    <t>Client 1145</t>
  </si>
  <si>
    <t>Client 1146</t>
  </si>
  <si>
    <t>Client 1147</t>
  </si>
  <si>
    <t>Client 1148</t>
  </si>
  <si>
    <t>Client 1149</t>
  </si>
  <si>
    <t>Client 1150</t>
  </si>
  <si>
    <t>Client 1151</t>
  </si>
  <si>
    <t>Client 1152</t>
  </si>
  <si>
    <t>Client 1153</t>
  </si>
  <si>
    <t>Client 1154</t>
  </si>
  <si>
    <t>Client 1155</t>
  </si>
  <si>
    <t>Client 1156</t>
  </si>
  <si>
    <t>Client 1157</t>
  </si>
  <si>
    <t>Client 1158</t>
  </si>
  <si>
    <t>Client 1159</t>
  </si>
  <si>
    <t>Client 1160</t>
  </si>
  <si>
    <t>Client 1161</t>
  </si>
  <si>
    <t>Client 1162</t>
  </si>
  <si>
    <t>Client 1163</t>
  </si>
  <si>
    <t>Client 1164</t>
  </si>
  <si>
    <t>Client 1165</t>
  </si>
  <si>
    <t>Client 1166</t>
  </si>
  <si>
    <t>Client 1167</t>
  </si>
  <si>
    <t>Client 1168</t>
  </si>
  <si>
    <t>Client 1169</t>
  </si>
  <si>
    <t>Client 1170</t>
  </si>
  <si>
    <t>Client 1171</t>
  </si>
  <si>
    <t>Client 1172</t>
  </si>
  <si>
    <t>Client 1173</t>
  </si>
  <si>
    <t>Client 1174</t>
  </si>
  <si>
    <t>Client 1175</t>
  </si>
  <si>
    <t>Client 1176</t>
  </si>
  <si>
    <t>Client 1177</t>
  </si>
  <si>
    <t>Client 1178</t>
  </si>
  <si>
    <t>Client 1179</t>
  </si>
  <si>
    <t>Client 1180</t>
  </si>
  <si>
    <t>Client 1181</t>
  </si>
  <si>
    <t>Client 1182</t>
  </si>
  <si>
    <t>Client 1183</t>
  </si>
  <si>
    <t>Client 1184</t>
  </si>
  <si>
    <t>Client 1185</t>
  </si>
  <si>
    <t>Client 1186</t>
  </si>
  <si>
    <t>Client 1187</t>
  </si>
  <si>
    <t>Client 1188</t>
  </si>
  <si>
    <t>Client 1189</t>
  </si>
  <si>
    <t>Client 1190</t>
  </si>
  <si>
    <t>Client 1191</t>
  </si>
  <si>
    <t>Client 1192</t>
  </si>
  <si>
    <t>Client 1193</t>
  </si>
  <si>
    <t>Client 1194</t>
  </si>
  <si>
    <t>Client 1195</t>
  </si>
  <si>
    <t>Client 1196</t>
  </si>
  <si>
    <t>Client 1197</t>
  </si>
  <si>
    <t>Client 1198</t>
  </si>
  <si>
    <t>Client 1199</t>
  </si>
  <si>
    <t>Client 1200</t>
  </si>
  <si>
    <t>Client 1201</t>
  </si>
  <si>
    <t>Client 1202</t>
  </si>
  <si>
    <t>Client 1203</t>
  </si>
  <si>
    <t>Client 1204</t>
  </si>
  <si>
    <t>Client 1205</t>
  </si>
  <si>
    <t>Client 1206</t>
  </si>
  <si>
    <t>Client 1207</t>
  </si>
  <si>
    <t>Client 1208</t>
  </si>
  <si>
    <t>Client 1209</t>
  </si>
  <si>
    <t>Client 1210</t>
  </si>
  <si>
    <t>Client 1211</t>
  </si>
  <si>
    <t>Client 1212</t>
  </si>
  <si>
    <t>Client 1213</t>
  </si>
  <si>
    <t>Client 1214</t>
  </si>
  <si>
    <t>Client 1215</t>
  </si>
  <si>
    <t>Client 1216</t>
  </si>
  <si>
    <t>Client 1217</t>
  </si>
  <si>
    <t>2025</t>
  </si>
  <si>
    <t>May</t>
  </si>
  <si>
    <t>Jul</t>
  </si>
  <si>
    <t>Aug</t>
  </si>
  <si>
    <t>Sep</t>
  </si>
  <si>
    <t>Oct</t>
  </si>
  <si>
    <t>Nov</t>
  </si>
  <si>
    <t>Dec</t>
  </si>
  <si>
    <t>Jan</t>
  </si>
  <si>
    <t>Feb</t>
  </si>
  <si>
    <t>Mar</t>
  </si>
  <si>
    <t>Apr</t>
  </si>
  <si>
    <t>Issue 45</t>
  </si>
  <si>
    <t>Issue 59</t>
  </si>
  <si>
    <t>Issue 65</t>
  </si>
  <si>
    <t>Issue 66</t>
  </si>
  <si>
    <t>Issue 78</t>
  </si>
  <si>
    <t>Issue 131</t>
  </si>
  <si>
    <t>Issue 136</t>
  </si>
  <si>
    <t>Issue 178</t>
  </si>
  <si>
    <t>Issue 180</t>
  </si>
  <si>
    <t>Issue 186</t>
  </si>
  <si>
    <t>Issue 192</t>
  </si>
  <si>
    <t>Issue 209</t>
  </si>
  <si>
    <t>Issue 210</t>
  </si>
  <si>
    <t>Issue 220</t>
  </si>
  <si>
    <t>Issue 224</t>
  </si>
  <si>
    <t>Issue 229</t>
  </si>
  <si>
    <t>Issue 230</t>
  </si>
  <si>
    <t>Issue 231</t>
  </si>
  <si>
    <t>Issue 233</t>
  </si>
  <si>
    <t>Issue 239</t>
  </si>
  <si>
    <t>Issue 241</t>
  </si>
  <si>
    <t>Issue 243</t>
  </si>
  <si>
    <t>Issue 246</t>
  </si>
  <si>
    <t>Issue 247</t>
  </si>
  <si>
    <t>Issue 250</t>
  </si>
  <si>
    <t>Issue 255</t>
  </si>
  <si>
    <t>Issue 257</t>
  </si>
  <si>
    <t>Issue 266</t>
  </si>
  <si>
    <t>Issue 268</t>
  </si>
  <si>
    <t>Issue 269</t>
  </si>
  <si>
    <t>Issue 270</t>
  </si>
  <si>
    <t>Issue 271</t>
  </si>
  <si>
    <t>Issue 272</t>
  </si>
  <si>
    <t>Issue 276</t>
  </si>
  <si>
    <t>Issue 278</t>
  </si>
  <si>
    <t>Issue 279</t>
  </si>
  <si>
    <t>Issue 280</t>
  </si>
  <si>
    <t>Issue 281</t>
  </si>
  <si>
    <t>Issue 283</t>
  </si>
  <si>
    <t>Issue 284</t>
  </si>
  <si>
    <t>Issue 285</t>
  </si>
  <si>
    <t>Issue 286</t>
  </si>
  <si>
    <t>Issue 287</t>
  </si>
  <si>
    <t>Issue 288</t>
  </si>
  <si>
    <t>Issue 289</t>
  </si>
  <si>
    <t>Issue 290</t>
  </si>
  <si>
    <t>Issue 292</t>
  </si>
  <si>
    <t>Issue 293</t>
  </si>
  <si>
    <t>Issue 294</t>
  </si>
  <si>
    <t>Issue 295</t>
  </si>
  <si>
    <t>Issue 296</t>
  </si>
  <si>
    <t>Issue 297</t>
  </si>
  <si>
    <t>Issue 298</t>
  </si>
  <si>
    <t>Issue 299</t>
  </si>
  <si>
    <t>Issue 301</t>
  </si>
  <si>
    <t>Issue 302</t>
  </si>
  <si>
    <t>Issue 303</t>
  </si>
  <si>
    <t>Issue 304</t>
  </si>
  <si>
    <t>Issue 305</t>
  </si>
  <si>
    <t>Issue 306</t>
  </si>
  <si>
    <t>Issue 307</t>
  </si>
  <si>
    <t>Issue 308</t>
  </si>
  <si>
    <t>Issue 309</t>
  </si>
  <si>
    <t>Issue 310</t>
  </si>
  <si>
    <t>Issue 311</t>
  </si>
  <si>
    <t>Issue 312</t>
  </si>
  <si>
    <t>Issue 313</t>
  </si>
  <si>
    <t>Issue 314</t>
  </si>
  <si>
    <t>Issue 315</t>
  </si>
  <si>
    <t>Issue 316</t>
  </si>
  <si>
    <t>Issue 317</t>
  </si>
  <si>
    <t>Issue 318</t>
  </si>
  <si>
    <t>Issue 319</t>
  </si>
  <si>
    <t>Issue 320</t>
  </si>
  <si>
    <t>Issue 321</t>
  </si>
  <si>
    <t>Issue 322</t>
  </si>
  <si>
    <t>Issue 323</t>
  </si>
  <si>
    <t>Issue 324</t>
  </si>
  <si>
    <t>Issue 325</t>
  </si>
  <si>
    <t>Issue 326</t>
  </si>
  <si>
    <t>Issue 327</t>
  </si>
  <si>
    <t>Issue 328</t>
  </si>
  <si>
    <t>Issue 329</t>
  </si>
  <si>
    <t>Issue 330</t>
  </si>
  <si>
    <t>Issue 331</t>
  </si>
  <si>
    <t>Issue 332</t>
  </si>
  <si>
    <t>Issue 333</t>
  </si>
  <si>
    <t>Issue 334</t>
  </si>
  <si>
    <t>Issue 335</t>
  </si>
  <si>
    <t>Issue 336</t>
  </si>
  <si>
    <t>Issue 337</t>
  </si>
  <si>
    <t>Issue 338</t>
  </si>
  <si>
    <t>Issue 339</t>
  </si>
  <si>
    <t>Issue 340</t>
  </si>
  <si>
    <t>Issue 341</t>
  </si>
  <si>
    <t>Issue 342</t>
  </si>
  <si>
    <t>Issue 343</t>
  </si>
  <si>
    <t>Issue 344</t>
  </si>
  <si>
    <t>Issue 345</t>
  </si>
  <si>
    <t>Issue 346</t>
  </si>
  <si>
    <t>Issue 347</t>
  </si>
  <si>
    <t>Issue 348</t>
  </si>
  <si>
    <t>Issue 349</t>
  </si>
  <si>
    <t>Issue 350</t>
  </si>
  <si>
    <t>Issue 351</t>
  </si>
  <si>
    <t>Issue 352</t>
  </si>
  <si>
    <t>Issue 353</t>
  </si>
  <si>
    <t>Issue 354</t>
  </si>
  <si>
    <t>Issue 355</t>
  </si>
  <si>
    <t>Issue 356</t>
  </si>
  <si>
    <t>Issue 357</t>
  </si>
  <si>
    <t>Issue 358</t>
  </si>
  <si>
    <t>Issue 359</t>
  </si>
  <si>
    <t>Issue 360</t>
  </si>
  <si>
    <t>Issue 361</t>
  </si>
  <si>
    <t>Issue 362</t>
  </si>
  <si>
    <t>Issue 363</t>
  </si>
  <si>
    <t>Issue 364</t>
  </si>
  <si>
    <t>Issue 365</t>
  </si>
  <si>
    <t>Issue 366</t>
  </si>
  <si>
    <t>Issue 367</t>
  </si>
  <si>
    <t>Issue 368</t>
  </si>
  <si>
    <t>Issue 369</t>
  </si>
  <si>
    <t>Issue 370</t>
  </si>
  <si>
    <t>Issue 371</t>
  </si>
  <si>
    <t>Issue 372</t>
  </si>
  <si>
    <t>Issue 373</t>
  </si>
  <si>
    <t>Issue 374</t>
  </si>
  <si>
    <t>Issue 375</t>
  </si>
  <si>
    <t>Issue 376</t>
  </si>
  <si>
    <t>Issue 377</t>
  </si>
  <si>
    <t>Issue 378</t>
  </si>
  <si>
    <t>Issue 379</t>
  </si>
  <si>
    <t>Issue 380</t>
  </si>
  <si>
    <t>Issue 381</t>
  </si>
  <si>
    <t>Issue 382</t>
  </si>
  <si>
    <t>Issue 383</t>
  </si>
  <si>
    <t>Issue 384</t>
  </si>
  <si>
    <t>Issue 385</t>
  </si>
  <si>
    <t>Issue 386</t>
  </si>
  <si>
    <t>Issue 387</t>
  </si>
  <si>
    <t>Issue 388</t>
  </si>
  <si>
    <t>Issue 390</t>
  </si>
  <si>
    <t>Issue 391</t>
  </si>
  <si>
    <t>Issue 392</t>
  </si>
  <si>
    <t>Issue 393</t>
  </si>
  <si>
    <t>Issue 394</t>
  </si>
  <si>
    <t>Issue 395</t>
  </si>
  <si>
    <t>Issue 396</t>
  </si>
  <si>
    <t>Issue 397</t>
  </si>
  <si>
    <t>Issue 398</t>
  </si>
  <si>
    <t>Issue 399</t>
  </si>
  <si>
    <t>Issue 400</t>
  </si>
  <si>
    <t>Issue 401</t>
  </si>
  <si>
    <t>Issue 402</t>
  </si>
  <si>
    <t>Issue 403</t>
  </si>
  <si>
    <t>Issue 404</t>
  </si>
  <si>
    <t>Issue 405</t>
  </si>
  <si>
    <t>Issue 406</t>
  </si>
  <si>
    <t>Issue 407</t>
  </si>
  <si>
    <t>Issue 408</t>
  </si>
  <si>
    <t>Issue 409</t>
  </si>
  <si>
    <t>Issue 410</t>
  </si>
  <si>
    <t>Issue 411</t>
  </si>
  <si>
    <t>Issue 412</t>
  </si>
  <si>
    <t>Issue 413</t>
  </si>
  <si>
    <t>Issue 414</t>
  </si>
  <si>
    <t>Issue 415</t>
  </si>
  <si>
    <t>Issue 416</t>
  </si>
  <si>
    <t>Issue 417</t>
  </si>
  <si>
    <t>Issue 418</t>
  </si>
  <si>
    <t>Issue 419</t>
  </si>
  <si>
    <t>Issue 420</t>
  </si>
  <si>
    <t>Issue 421</t>
  </si>
  <si>
    <t>Issue 422</t>
  </si>
  <si>
    <t>Issue 423</t>
  </si>
  <si>
    <t>Issue 424</t>
  </si>
  <si>
    <t>Issue 425</t>
  </si>
  <si>
    <t>Issue 426</t>
  </si>
  <si>
    <t>Issue 427</t>
  </si>
  <si>
    <t>Issue 428</t>
  </si>
  <si>
    <t>Issue 429</t>
  </si>
  <si>
    <t>Issue 430</t>
  </si>
  <si>
    <t>Issue 431</t>
  </si>
  <si>
    <t>Issue 432</t>
  </si>
  <si>
    <t>Issue 433</t>
  </si>
  <si>
    <t>Issue 434</t>
  </si>
  <si>
    <t>Issue 435</t>
  </si>
  <si>
    <t>Issue 436</t>
  </si>
  <si>
    <t>Issue 437</t>
  </si>
  <si>
    <t>Issue 438</t>
  </si>
  <si>
    <t>Issue 439</t>
  </si>
  <si>
    <t>Issue 440</t>
  </si>
  <si>
    <t>Issue 441</t>
  </si>
  <si>
    <t>Issue 442</t>
  </si>
  <si>
    <t>Issue 443</t>
  </si>
  <si>
    <t>Issue 444</t>
  </si>
  <si>
    <t>Issue 445</t>
  </si>
  <si>
    <t>Issue 446</t>
  </si>
  <si>
    <t>Issue 447</t>
  </si>
  <si>
    <t>Issue 448</t>
  </si>
  <si>
    <t>Issue 449</t>
  </si>
  <si>
    <t>Issue 450</t>
  </si>
  <si>
    <t>Issue 451</t>
  </si>
  <si>
    <t>Issue 452</t>
  </si>
  <si>
    <t>Issue 453</t>
  </si>
  <si>
    <t>Issue 454</t>
  </si>
  <si>
    <t>Issue 455</t>
  </si>
  <si>
    <t>Issue 456</t>
  </si>
  <si>
    <t>Issue 457</t>
  </si>
  <si>
    <t>Issue 458</t>
  </si>
  <si>
    <t>Issue 459</t>
  </si>
  <si>
    <t>Issue 460</t>
  </si>
  <si>
    <t>Issue 461</t>
  </si>
  <si>
    <t>Issue 462</t>
  </si>
  <si>
    <t>Issue 463</t>
  </si>
  <si>
    <t>Issue 464</t>
  </si>
  <si>
    <t>Issue 465</t>
  </si>
  <si>
    <t>Issue 466</t>
  </si>
  <si>
    <t>Issue 467</t>
  </si>
  <si>
    <t>Issue 468</t>
  </si>
  <si>
    <t>Issue 469</t>
  </si>
  <si>
    <t>Issue 470</t>
  </si>
  <si>
    <t>Issue 471</t>
  </si>
  <si>
    <t>Issue 472</t>
  </si>
  <si>
    <t>Issue 473</t>
  </si>
  <si>
    <t>Issue 474</t>
  </si>
  <si>
    <t>Issue 475</t>
  </si>
  <si>
    <t>Issue 476</t>
  </si>
  <si>
    <t>Issue 477</t>
  </si>
  <si>
    <t>Issue 478</t>
  </si>
  <si>
    <t>Issue 479</t>
  </si>
  <si>
    <t>Issue 480</t>
  </si>
  <si>
    <t>Issue 481</t>
  </si>
  <si>
    <t>Issue 482</t>
  </si>
  <si>
    <t>Issue 483</t>
  </si>
  <si>
    <t>Issue 484</t>
  </si>
  <si>
    <t>Issue 485</t>
  </si>
  <si>
    <t>Issue 486</t>
  </si>
  <si>
    <t>Issue 487</t>
  </si>
  <si>
    <t>Issue 488</t>
  </si>
  <si>
    <t>Issue 489</t>
  </si>
  <si>
    <t>Issue 490</t>
  </si>
  <si>
    <t>Issue 491</t>
  </si>
  <si>
    <t>Issue 492</t>
  </si>
  <si>
    <t>Issue 493</t>
  </si>
  <si>
    <t>Issue 494</t>
  </si>
  <si>
    <t>Issue 495</t>
  </si>
  <si>
    <t>Issue 496</t>
  </si>
  <si>
    <t>Issue 497</t>
  </si>
  <si>
    <t>Issue 498</t>
  </si>
  <si>
    <t>Issue 499</t>
  </si>
  <si>
    <t>Issue 500</t>
  </si>
  <si>
    <t>Issue 501</t>
  </si>
  <si>
    <t>Issue 502</t>
  </si>
  <si>
    <t>Issue 503</t>
  </si>
  <si>
    <t>Issue 504</t>
  </si>
  <si>
    <t>Issue 505</t>
  </si>
  <si>
    <t>Issue 506</t>
  </si>
  <si>
    <t>Issue 507</t>
  </si>
  <si>
    <t>Issue 508</t>
  </si>
  <si>
    <t>Issue 509</t>
  </si>
  <si>
    <t>Issue 510</t>
  </si>
  <si>
    <t>Issue 511</t>
  </si>
  <si>
    <t>Issue 512</t>
  </si>
  <si>
    <t>Issue 513</t>
  </si>
  <si>
    <t>Issue 514</t>
  </si>
  <si>
    <t>Issue 515</t>
  </si>
  <si>
    <t>Issue 516</t>
  </si>
  <si>
    <t>Issue 517</t>
  </si>
  <si>
    <t>Issue 518</t>
  </si>
  <si>
    <t>Issue 519</t>
  </si>
  <si>
    <t>Issue 520</t>
  </si>
  <si>
    <t>Issue 521</t>
  </si>
  <si>
    <t>Issue 522</t>
  </si>
  <si>
    <t>Issue 523</t>
  </si>
  <si>
    <t>Issue 524</t>
  </si>
  <si>
    <t>Issue 525</t>
  </si>
  <si>
    <t>Issue 526</t>
  </si>
  <si>
    <t>Issue 527</t>
  </si>
  <si>
    <t>Issue 528</t>
  </si>
  <si>
    <t>Issue 529</t>
  </si>
  <si>
    <t>Issue 530</t>
  </si>
  <si>
    <t>Issue 531</t>
  </si>
  <si>
    <t>Issue 532</t>
  </si>
  <si>
    <t>Issue 533</t>
  </si>
  <si>
    <t>Issue 534</t>
  </si>
  <si>
    <t>Issue 535</t>
  </si>
  <si>
    <t>Issue 536</t>
  </si>
  <si>
    <t>Issue 537</t>
  </si>
  <si>
    <t>Issue 538</t>
  </si>
  <si>
    <t>Issue 539</t>
  </si>
  <si>
    <t>Issue 540</t>
  </si>
  <si>
    <t>Issue 541</t>
  </si>
  <si>
    <t>Issue 542</t>
  </si>
  <si>
    <t>Issue 543</t>
  </si>
  <si>
    <t>Issue 544</t>
  </si>
  <si>
    <t>Issue 545</t>
  </si>
  <si>
    <t>Issue 546</t>
  </si>
  <si>
    <t>Issue 547</t>
  </si>
  <si>
    <t>Issue 548</t>
  </si>
  <si>
    <t>Issue 549</t>
  </si>
  <si>
    <t>Issue 550</t>
  </si>
  <si>
    <t>Issue 551</t>
  </si>
  <si>
    <t>Issue 552</t>
  </si>
  <si>
    <t>Issue 553</t>
  </si>
  <si>
    <t>Issue 554</t>
  </si>
  <si>
    <t>Issue 555</t>
  </si>
  <si>
    <t>Issue 556</t>
  </si>
  <si>
    <t>Issue 557</t>
  </si>
  <si>
    <t>Issue 558</t>
  </si>
  <si>
    <t>Issue 559</t>
  </si>
  <si>
    <t>Issue 560</t>
  </si>
  <si>
    <t>Issue 561</t>
  </si>
  <si>
    <t>Issue 562</t>
  </si>
  <si>
    <t>Issue 563</t>
  </si>
  <si>
    <t>Issue 564</t>
  </si>
  <si>
    <t>Issue 565</t>
  </si>
  <si>
    <t>Issue 566</t>
  </si>
  <si>
    <t>Issue 567</t>
  </si>
  <si>
    <t>Issue 568</t>
  </si>
  <si>
    <t>Issue 569</t>
  </si>
  <si>
    <t>Issue 570</t>
  </si>
  <si>
    <t>Issue 571</t>
  </si>
  <si>
    <t>Issue 572</t>
  </si>
  <si>
    <t>Issue 573</t>
  </si>
  <si>
    <t>Issue 574</t>
  </si>
  <si>
    <t>Issue 575</t>
  </si>
  <si>
    <t>Issue 576</t>
  </si>
  <si>
    <t>Issue 577</t>
  </si>
  <si>
    <t>Issue 578</t>
  </si>
  <si>
    <t>Issue 579</t>
  </si>
  <si>
    <t>Issue 580</t>
  </si>
  <si>
    <t>Issue 581</t>
  </si>
  <si>
    <t>Issue 582</t>
  </si>
  <si>
    <t>Issue 583</t>
  </si>
  <si>
    <t>Issue 584</t>
  </si>
  <si>
    <t>Issue 585</t>
  </si>
  <si>
    <t>Issue 586</t>
  </si>
  <si>
    <t>Issue 587</t>
  </si>
  <si>
    <t>Issue 588</t>
  </si>
  <si>
    <t>Issue 589</t>
  </si>
  <si>
    <t>Issue 590</t>
  </si>
  <si>
    <t>Issue 591</t>
  </si>
  <si>
    <t>Issue 592</t>
  </si>
  <si>
    <t>Issue 593</t>
  </si>
  <si>
    <t>Issue 594</t>
  </si>
  <si>
    <t>Issue 595</t>
  </si>
  <si>
    <t>Issue 596</t>
  </si>
  <si>
    <t>Issue 597</t>
  </si>
  <si>
    <t>Issue 598</t>
  </si>
  <si>
    <t>Issue 599</t>
  </si>
  <si>
    <t>Issue 600</t>
  </si>
  <si>
    <t>Issue 601</t>
  </si>
  <si>
    <t>Issue 602</t>
  </si>
  <si>
    <t>Issue 603</t>
  </si>
  <si>
    <t>Issue 604</t>
  </si>
  <si>
    <t>Issue 605</t>
  </si>
  <si>
    <t>Issue 606</t>
  </si>
  <si>
    <t>Issue 607</t>
  </si>
  <si>
    <t>Issue 608</t>
  </si>
  <si>
    <t>Issue 609</t>
  </si>
  <si>
    <t>Issue 610</t>
  </si>
  <si>
    <t>Issue 611</t>
  </si>
  <si>
    <t>Issue 612</t>
  </si>
  <si>
    <t>Issue 613</t>
  </si>
  <si>
    <t>Issue 614</t>
  </si>
  <si>
    <t>Issue 615</t>
  </si>
  <si>
    <t>Issue 616</t>
  </si>
  <si>
    <t>Issue 617</t>
  </si>
  <si>
    <t>Issue 618</t>
  </si>
  <si>
    <t>Issue 619</t>
  </si>
  <si>
    <t>Issue 620</t>
  </si>
  <si>
    <t>Issue 621</t>
  </si>
  <si>
    <t>Issue 622</t>
  </si>
  <si>
    <t>Issue 623</t>
  </si>
  <si>
    <t>Issue 624</t>
  </si>
  <si>
    <t>Issue 625</t>
  </si>
  <si>
    <t>Issue 626</t>
  </si>
  <si>
    <t>Issue 627</t>
  </si>
  <si>
    <t>Issue 628</t>
  </si>
  <si>
    <t>Issue 629</t>
  </si>
  <si>
    <t>Issue 630</t>
  </si>
  <si>
    <t>Issue 631</t>
  </si>
  <si>
    <t>Issue 632</t>
  </si>
  <si>
    <t>Issue 633</t>
  </si>
  <si>
    <t>Issue 634</t>
  </si>
  <si>
    <t>Issue 635</t>
  </si>
  <si>
    <t>Issue 636</t>
  </si>
  <si>
    <t>Issue 637</t>
  </si>
  <si>
    <t>Issue 638</t>
  </si>
  <si>
    <t>Issue 639</t>
  </si>
  <si>
    <t>Issue 640</t>
  </si>
  <si>
    <t>Issue 641</t>
  </si>
  <si>
    <t>Issue 642</t>
  </si>
  <si>
    <t>Issue 643</t>
  </si>
  <si>
    <t>Issue 644</t>
  </si>
  <si>
    <t>Issue 645</t>
  </si>
  <si>
    <t>Issue 646</t>
  </si>
  <si>
    <t>Issue 647</t>
  </si>
  <si>
    <t>Issue 648</t>
  </si>
  <si>
    <t>Issue 649</t>
  </si>
  <si>
    <t>Issue 650</t>
  </si>
  <si>
    <t>Issue 651</t>
  </si>
  <si>
    <t>Issue 652</t>
  </si>
  <si>
    <t>Issue 653</t>
  </si>
  <si>
    <t>Issue 654</t>
  </si>
  <si>
    <t>Issue 655</t>
  </si>
  <si>
    <t>Issue 656</t>
  </si>
  <si>
    <t>Issue 657</t>
  </si>
  <si>
    <t>Issue 658</t>
  </si>
  <si>
    <t>Issue 659</t>
  </si>
  <si>
    <t>Issue 660</t>
  </si>
  <si>
    <t>Issue 661</t>
  </si>
  <si>
    <t>Issue 662</t>
  </si>
  <si>
    <t>Issue 663</t>
  </si>
  <si>
    <t>Issue 664</t>
  </si>
  <si>
    <t>Issue 665</t>
  </si>
  <si>
    <t>Issue 666</t>
  </si>
  <si>
    <t>Issue 667</t>
  </si>
  <si>
    <t>Issue 668</t>
  </si>
  <si>
    <t>Issue 669</t>
  </si>
  <si>
    <t>Issue 670</t>
  </si>
  <si>
    <t>Issue 671</t>
  </si>
  <si>
    <t>Issue 672</t>
  </si>
  <si>
    <t>Issue 673</t>
  </si>
  <si>
    <t>Issue 674</t>
  </si>
  <si>
    <t>Issue 675</t>
  </si>
  <si>
    <t>Issue 676</t>
  </si>
  <si>
    <t>Issue 677</t>
  </si>
  <si>
    <t>Issue 678</t>
  </si>
  <si>
    <t>Issue 679</t>
  </si>
  <si>
    <t>Issue 680</t>
  </si>
  <si>
    <t>Issue 681</t>
  </si>
  <si>
    <t>Issue 682</t>
  </si>
  <si>
    <t>Issue 683</t>
  </si>
  <si>
    <t>Issue 684</t>
  </si>
  <si>
    <t>Issue 685</t>
  </si>
  <si>
    <t>Issue 686</t>
  </si>
  <si>
    <t>Issue 687</t>
  </si>
  <si>
    <t>Issue 688</t>
  </si>
  <si>
    <t>Issue 689</t>
  </si>
  <si>
    <t>Issue 690</t>
  </si>
  <si>
    <t>Issue 691</t>
  </si>
  <si>
    <t>Issue 692</t>
  </si>
  <si>
    <t>Issue 693</t>
  </si>
  <si>
    <t>Issue 694</t>
  </si>
  <si>
    <t>Issue 695</t>
  </si>
  <si>
    <t>Issue 696</t>
  </si>
  <si>
    <t>Issue 697</t>
  </si>
  <si>
    <t>Issue 698</t>
  </si>
  <si>
    <t>Issue 699</t>
  </si>
  <si>
    <t>Issue 700</t>
  </si>
  <si>
    <t>Issue 701</t>
  </si>
  <si>
    <t>Issue 702</t>
  </si>
  <si>
    <t>Issue 703</t>
  </si>
  <si>
    <t>Issue 704</t>
  </si>
  <si>
    <t>Issue 705</t>
  </si>
  <si>
    <t>Issue 706</t>
  </si>
  <si>
    <t>Issue 707</t>
  </si>
  <si>
    <t>Issue 708</t>
  </si>
  <si>
    <t>Issue 709</t>
  </si>
  <si>
    <t>Issue 710</t>
  </si>
  <si>
    <t>Issue 711</t>
  </si>
  <si>
    <t>Issue 712</t>
  </si>
  <si>
    <t>Issue 713</t>
  </si>
  <si>
    <t>Issue 714</t>
  </si>
  <si>
    <t>Issue 715</t>
  </si>
  <si>
    <t>Issue 716</t>
  </si>
  <si>
    <t>Issue 717</t>
  </si>
  <si>
    <t>Issue 718</t>
  </si>
  <si>
    <t>Issue 719</t>
  </si>
  <si>
    <t>Issue 720</t>
  </si>
  <si>
    <t>Issue 721</t>
  </si>
  <si>
    <t>Issue 722</t>
  </si>
  <si>
    <t>Issue 723</t>
  </si>
  <si>
    <t>Issue 724</t>
  </si>
  <si>
    <t>Issue 725</t>
  </si>
  <si>
    <t>Issue 726</t>
  </si>
  <si>
    <t>Issue 727</t>
  </si>
  <si>
    <t>Issue 728</t>
  </si>
  <si>
    <t>Issue 729</t>
  </si>
  <si>
    <t>Issue 730</t>
  </si>
  <si>
    <t>Issue 731</t>
  </si>
  <si>
    <t>Issue 732</t>
  </si>
  <si>
    <t>Issue 733</t>
  </si>
  <si>
    <t>Issue 734</t>
  </si>
  <si>
    <t>Issue 735</t>
  </si>
  <si>
    <t>Issue 736</t>
  </si>
  <si>
    <t>Issue 737</t>
  </si>
  <si>
    <t>Issue 738</t>
  </si>
  <si>
    <t>Issue 739</t>
  </si>
  <si>
    <t>Issue 740</t>
  </si>
  <si>
    <t>Issue 741</t>
  </si>
  <si>
    <t>Issue 742</t>
  </si>
  <si>
    <t>Issue 743</t>
  </si>
  <si>
    <t>Issue 744</t>
  </si>
  <si>
    <t>Issue 745</t>
  </si>
  <si>
    <t>Issue 746</t>
  </si>
  <si>
    <t>Issue 747</t>
  </si>
  <si>
    <t>Issue 748</t>
  </si>
  <si>
    <t>Issue 749</t>
  </si>
  <si>
    <t>Issue 750</t>
  </si>
  <si>
    <t>Issue 751</t>
  </si>
  <si>
    <t>Issue 752</t>
  </si>
  <si>
    <t>Issue 753</t>
  </si>
  <si>
    <t>Issue 754</t>
  </si>
  <si>
    <t>Issue 755</t>
  </si>
  <si>
    <t>Issue 756</t>
  </si>
  <si>
    <t>Issue 757</t>
  </si>
  <si>
    <t>Issue 758</t>
  </si>
  <si>
    <t>Issue 759</t>
  </si>
  <si>
    <t>Issue 760</t>
  </si>
  <si>
    <t>Issue 761</t>
  </si>
  <si>
    <t>Issue 762</t>
  </si>
  <si>
    <t>Issue 763</t>
  </si>
  <si>
    <t>Issue 764</t>
  </si>
  <si>
    <t>Issue 765</t>
  </si>
  <si>
    <t>Issue 766</t>
  </si>
  <si>
    <t>Issue 767</t>
  </si>
  <si>
    <t>Issue 768</t>
  </si>
  <si>
    <t>Issue 769</t>
  </si>
  <si>
    <t>Issue 770</t>
  </si>
  <si>
    <t>Issue 771</t>
  </si>
  <si>
    <t>Issue 772</t>
  </si>
  <si>
    <t>Issue 773</t>
  </si>
  <si>
    <t>Issue 774</t>
  </si>
  <si>
    <t>Issue 775</t>
  </si>
  <si>
    <t>Issue 776</t>
  </si>
  <si>
    <t>Issue 777</t>
  </si>
  <si>
    <t>Issue 778</t>
  </si>
  <si>
    <t>Issue 779</t>
  </si>
  <si>
    <t>Issue 780</t>
  </si>
  <si>
    <t>Issue 781</t>
  </si>
  <si>
    <t>Issue 782</t>
  </si>
  <si>
    <t>Issue 783</t>
  </si>
  <si>
    <t>Issue 784</t>
  </si>
  <si>
    <t>Issue 785</t>
  </si>
  <si>
    <t>Issue 786</t>
  </si>
  <si>
    <t>Issue 787</t>
  </si>
  <si>
    <t>Issue 788</t>
  </si>
  <si>
    <t>Issue 789</t>
  </si>
  <si>
    <t>Issue 790</t>
  </si>
  <si>
    <t>Issue 791</t>
  </si>
  <si>
    <t>Issue 792</t>
  </si>
  <si>
    <t>Issue 793</t>
  </si>
  <si>
    <t>Issue 794</t>
  </si>
  <si>
    <t>Issue 795</t>
  </si>
  <si>
    <t>Issue 796</t>
  </si>
  <si>
    <t>Issue 797</t>
  </si>
  <si>
    <t>Issue 798</t>
  </si>
  <si>
    <t>Issue 799</t>
  </si>
  <si>
    <t>Issue 800</t>
  </si>
  <si>
    <t>Issue 801</t>
  </si>
  <si>
    <t>Issue 802</t>
  </si>
  <si>
    <t>Issue 803</t>
  </si>
  <si>
    <t>Issue 804</t>
  </si>
  <si>
    <t>Issue 805</t>
  </si>
  <si>
    <t>Issue 806</t>
  </si>
  <si>
    <t>Issue 807</t>
  </si>
  <si>
    <t>Issue 808</t>
  </si>
  <si>
    <t>Issue 809</t>
  </si>
  <si>
    <t>Issue 810</t>
  </si>
  <si>
    <t>Issue 811</t>
  </si>
  <si>
    <t>Issue 812</t>
  </si>
  <si>
    <t>Issue 813</t>
  </si>
  <si>
    <t>Issue 814</t>
  </si>
  <si>
    <t>Issue 815</t>
  </si>
  <si>
    <t>Issue 816</t>
  </si>
  <si>
    <t>Issue 817</t>
  </si>
  <si>
    <t>Issue 818</t>
  </si>
  <si>
    <t>Issue 819</t>
  </si>
  <si>
    <t>Issue 820</t>
  </si>
  <si>
    <t>Issue 821</t>
  </si>
  <si>
    <t>Issue 822</t>
  </si>
  <si>
    <t>Issue 823</t>
  </si>
  <si>
    <t>Issue 824</t>
  </si>
  <si>
    <t>Issue 825</t>
  </si>
  <si>
    <t>Issue 826</t>
  </si>
  <si>
    <t>Issue 827</t>
  </si>
  <si>
    <t>Issue 828</t>
  </si>
  <si>
    <t>Issue 829</t>
  </si>
  <si>
    <t>Issue 830</t>
  </si>
  <si>
    <t>Issue 831</t>
  </si>
  <si>
    <t>Issue 832</t>
  </si>
  <si>
    <t>Issue 833</t>
  </si>
  <si>
    <t>Issue 834</t>
  </si>
  <si>
    <t>Issue 835</t>
  </si>
  <si>
    <t>Issue 836</t>
  </si>
  <si>
    <t>Issue 837</t>
  </si>
  <si>
    <t>Issue 838</t>
  </si>
  <si>
    <t>Issue 839</t>
  </si>
  <si>
    <t>Issue 840</t>
  </si>
  <si>
    <t>Issue 841</t>
  </si>
  <si>
    <t>Issue 842</t>
  </si>
  <si>
    <t>Issue 843</t>
  </si>
  <si>
    <t>Issue 844</t>
  </si>
  <si>
    <t>Issue 845</t>
  </si>
  <si>
    <t>Issue 846</t>
  </si>
  <si>
    <t>Issue 847</t>
  </si>
  <si>
    <t>Issue 848</t>
  </si>
  <si>
    <t>Issue 849</t>
  </si>
  <si>
    <t>Issue 850</t>
  </si>
  <si>
    <t>Issue 851</t>
  </si>
  <si>
    <t>Issue 852</t>
  </si>
  <si>
    <t>Issue 853</t>
  </si>
  <si>
    <t>Issue 854</t>
  </si>
  <si>
    <t>Issue 855</t>
  </si>
  <si>
    <t>Issue 856</t>
  </si>
  <si>
    <t>Issue 857</t>
  </si>
  <si>
    <t>Issue 858</t>
  </si>
  <si>
    <t>Issue 859</t>
  </si>
  <si>
    <t>Issue 860</t>
  </si>
  <si>
    <t>Issue 861</t>
  </si>
  <si>
    <t>Issue 862</t>
  </si>
  <si>
    <t>Issue 863</t>
  </si>
  <si>
    <t>Issue 864</t>
  </si>
  <si>
    <t>Issue 865</t>
  </si>
  <si>
    <t>Issue 866</t>
  </si>
  <si>
    <t>Issue 867</t>
  </si>
  <si>
    <t>Issue 868</t>
  </si>
  <si>
    <t>Issue 869</t>
  </si>
  <si>
    <t>Issue 870</t>
  </si>
  <si>
    <t>Issue 871</t>
  </si>
  <si>
    <t>Issue 872</t>
  </si>
  <si>
    <t>Issue 873</t>
  </si>
  <si>
    <t>Issue 874</t>
  </si>
  <si>
    <t>Issue 875</t>
  </si>
  <si>
    <t>Issue 876</t>
  </si>
  <si>
    <t>Issue 877</t>
  </si>
  <si>
    <t>Issue 878</t>
  </si>
  <si>
    <t>Issue 879</t>
  </si>
  <si>
    <t>Issue 880</t>
  </si>
  <si>
    <t>Issue 881</t>
  </si>
  <si>
    <t>Issue 882</t>
  </si>
  <si>
    <t>Issue 883</t>
  </si>
  <si>
    <t>Issue 884</t>
  </si>
  <si>
    <t>Issue 885</t>
  </si>
  <si>
    <t>Issue 886</t>
  </si>
  <si>
    <t>Issue 887</t>
  </si>
  <si>
    <t>Issue 888</t>
  </si>
  <si>
    <t>Issue 889</t>
  </si>
  <si>
    <t>Issue 890</t>
  </si>
  <si>
    <t>Issue 891</t>
  </si>
  <si>
    <t>Issue 892</t>
  </si>
  <si>
    <t>Issue 893</t>
  </si>
  <si>
    <t>Issue 894</t>
  </si>
  <si>
    <t>Issue 895</t>
  </si>
  <si>
    <t>Issue 896</t>
  </si>
  <si>
    <t>Issue 897</t>
  </si>
  <si>
    <t>Issue 898</t>
  </si>
  <si>
    <t>Issue 899</t>
  </si>
  <si>
    <t>Issue 900</t>
  </si>
  <si>
    <t>Issue 901</t>
  </si>
  <si>
    <t>Issue 902</t>
  </si>
  <si>
    <t>Issue 903</t>
  </si>
  <si>
    <t>Issue 904</t>
  </si>
  <si>
    <t>Issue 905</t>
  </si>
  <si>
    <t>Issue 906</t>
  </si>
  <si>
    <t>Issue 907</t>
  </si>
  <si>
    <t>Issue 908</t>
  </si>
  <si>
    <t>Issue 909</t>
  </si>
  <si>
    <t>Issue 910</t>
  </si>
  <si>
    <t>Issue 911</t>
  </si>
  <si>
    <t>Issue 912</t>
  </si>
  <si>
    <t>Issue 913</t>
  </si>
  <si>
    <t>Issue 914</t>
  </si>
  <si>
    <t>Issue 915</t>
  </si>
  <si>
    <t>Issue 916</t>
  </si>
  <si>
    <t>Issue 917</t>
  </si>
  <si>
    <t>Issue 918</t>
  </si>
  <si>
    <t>Issue 919</t>
  </si>
  <si>
    <t>Issue 920</t>
  </si>
  <si>
    <t>Issue 921</t>
  </si>
  <si>
    <t>Issue 922</t>
  </si>
  <si>
    <t>Issue 923</t>
  </si>
  <si>
    <t>Issue 924</t>
  </si>
  <si>
    <t>Issue 925</t>
  </si>
  <si>
    <t>Issue 926</t>
  </si>
  <si>
    <t>Issue 927</t>
  </si>
  <si>
    <t>Issue 928</t>
  </si>
  <si>
    <t>Issue 929</t>
  </si>
  <si>
    <t>Issue 930</t>
  </si>
  <si>
    <t>Issue 931</t>
  </si>
  <si>
    <t>Issue 932</t>
  </si>
  <si>
    <t>Issue 933</t>
  </si>
  <si>
    <t>Issue 934</t>
  </si>
  <si>
    <t>Issue 935</t>
  </si>
  <si>
    <t>Issue 936</t>
  </si>
  <si>
    <t>Issue 937</t>
  </si>
  <si>
    <t>Issue 938</t>
  </si>
  <si>
    <t>Issue 939</t>
  </si>
  <si>
    <t>Issue 940</t>
  </si>
  <si>
    <t>Issue 941</t>
  </si>
  <si>
    <t>Issue 942</t>
  </si>
  <si>
    <t>Issue 943</t>
  </si>
  <si>
    <t>Issue 944</t>
  </si>
  <si>
    <t>Issue 945</t>
  </si>
  <si>
    <t>Issue 946</t>
  </si>
  <si>
    <t>Issue 947</t>
  </si>
  <si>
    <t>Issue 948</t>
  </si>
  <si>
    <t>Issue 949</t>
  </si>
  <si>
    <t>Issue 950</t>
  </si>
  <si>
    <t>Issue 951</t>
  </si>
  <si>
    <t>Issue 952</t>
  </si>
  <si>
    <t>Issue 953</t>
  </si>
  <si>
    <t>Issue 954</t>
  </si>
  <si>
    <t>Issue 955</t>
  </si>
  <si>
    <t>Issue 956</t>
  </si>
  <si>
    <t>Issue 957</t>
  </si>
  <si>
    <t>Issue 958</t>
  </si>
  <si>
    <t>Issue 959</t>
  </si>
  <si>
    <t>Issue 960</t>
  </si>
  <si>
    <t>Issue 961</t>
  </si>
  <si>
    <t>Issue 962</t>
  </si>
  <si>
    <t>Issue 963</t>
  </si>
  <si>
    <t>Issue 964</t>
  </si>
  <si>
    <t>Issue 965</t>
  </si>
  <si>
    <t>Issue 966</t>
  </si>
  <si>
    <t>Issue 967</t>
  </si>
  <si>
    <t>Issue 968</t>
  </si>
  <si>
    <t>Issue 969</t>
  </si>
  <si>
    <t>Issue 970</t>
  </si>
  <si>
    <t>Issue 971</t>
  </si>
  <si>
    <t>Issue 972</t>
  </si>
  <si>
    <t>Issue 973</t>
  </si>
  <si>
    <t>Issue 974</t>
  </si>
  <si>
    <t>Issue 975</t>
  </si>
  <si>
    <t>Issue 976</t>
  </si>
  <si>
    <t>Issue 977</t>
  </si>
  <si>
    <t>Issue 978</t>
  </si>
  <si>
    <t>Issue 979</t>
  </si>
  <si>
    <t>Issue 980</t>
  </si>
  <si>
    <t>Issue 981</t>
  </si>
  <si>
    <t>Issue 982</t>
  </si>
  <si>
    <t>Issue 983</t>
  </si>
  <si>
    <t>Issue 984</t>
  </si>
  <si>
    <t>Issue 985</t>
  </si>
  <si>
    <t>Issue 986</t>
  </si>
  <si>
    <t>Issue 987</t>
  </si>
  <si>
    <t>Issue 988</t>
  </si>
  <si>
    <t>Issue 989</t>
  </si>
  <si>
    <t>Issue 990</t>
  </si>
  <si>
    <t>Issue 991</t>
  </si>
  <si>
    <t>Issue 992</t>
  </si>
  <si>
    <t>Issue 993</t>
  </si>
  <si>
    <t>Issue 994</t>
  </si>
  <si>
    <t>Issue 995</t>
  </si>
  <si>
    <t>Issue 996</t>
  </si>
  <si>
    <t>Issue 997</t>
  </si>
  <si>
    <t>Issue 998</t>
  </si>
  <si>
    <t>Issue 999</t>
  </si>
  <si>
    <t>Issue 1000</t>
  </si>
  <si>
    <t>Issue 1001</t>
  </si>
  <si>
    <t>Issue 1002</t>
  </si>
  <si>
    <t>Issue 1003</t>
  </si>
  <si>
    <t>Issue 1004</t>
  </si>
  <si>
    <t>Issue 1005</t>
  </si>
  <si>
    <t>Issue 1006</t>
  </si>
  <si>
    <t>Issue 1007</t>
  </si>
  <si>
    <t>Issue 1008</t>
  </si>
  <si>
    <t>Issue 1009</t>
  </si>
  <si>
    <t>Issue 1010</t>
  </si>
  <si>
    <t>Issue 1011</t>
  </si>
  <si>
    <t>Issue 1012</t>
  </si>
  <si>
    <t>Issue 1013</t>
  </si>
  <si>
    <t>Issue 1014</t>
  </si>
  <si>
    <t>Issue 1015</t>
  </si>
  <si>
    <t>Issue 1016</t>
  </si>
  <si>
    <t>Issue 1017</t>
  </si>
  <si>
    <t>Issue 1018</t>
  </si>
  <si>
    <t>Issue 1019</t>
  </si>
  <si>
    <t>Issue 1020</t>
  </si>
  <si>
    <t>Issue 1021</t>
  </si>
  <si>
    <t>Issue 1022</t>
  </si>
  <si>
    <t>Issue 1023</t>
  </si>
  <si>
    <t>Issue 1024</t>
  </si>
  <si>
    <t>Issue 1025</t>
  </si>
  <si>
    <t>Issue 1026</t>
  </si>
  <si>
    <t>Issue 1027</t>
  </si>
  <si>
    <t>Issue 1028</t>
  </si>
  <si>
    <t>Issue 1029</t>
  </si>
  <si>
    <t>Issue 1030</t>
  </si>
  <si>
    <t>Issue 1031</t>
  </si>
  <si>
    <t>Issue 1032</t>
  </si>
  <si>
    <t>Issue 1033</t>
  </si>
  <si>
    <t>Issue 1034</t>
  </si>
  <si>
    <t>Issue 1035</t>
  </si>
  <si>
    <t>Issue 1036</t>
  </si>
  <si>
    <t>Issue 1037</t>
  </si>
  <si>
    <t>Issue 1038</t>
  </si>
  <si>
    <t>Issue 1039</t>
  </si>
  <si>
    <t>Issue 1040</t>
  </si>
  <si>
    <t>Issue 1041</t>
  </si>
  <si>
    <t>Issue 1042</t>
  </si>
  <si>
    <t>Issue 1043</t>
  </si>
  <si>
    <t>Issue 1044</t>
  </si>
  <si>
    <t>Issue 1045</t>
  </si>
  <si>
    <t>Issue 1046</t>
  </si>
  <si>
    <t>Issue 1047</t>
  </si>
  <si>
    <t>Issue 1048</t>
  </si>
  <si>
    <t>Issue 1049</t>
  </si>
  <si>
    <t>Issue 1050</t>
  </si>
  <si>
    <t>Issue 1051</t>
  </si>
  <si>
    <t>Issue 1052</t>
  </si>
  <si>
    <t>Issue 1053</t>
  </si>
  <si>
    <t>Issue 1054</t>
  </si>
  <si>
    <t>Issue 1055</t>
  </si>
  <si>
    <t>Issue 1056</t>
  </si>
  <si>
    <t>Issue 1057</t>
  </si>
  <si>
    <t>Issue 1058</t>
  </si>
  <si>
    <t>Issue 1059</t>
  </si>
  <si>
    <t>Issue 1060</t>
  </si>
  <si>
    <t>Issue 1061</t>
  </si>
  <si>
    <t>Issue 1062</t>
  </si>
  <si>
    <t>Issue 1063</t>
  </si>
  <si>
    <t>Issue 1064</t>
  </si>
  <si>
    <t>Issue 1065</t>
  </si>
  <si>
    <t>Issue 1066</t>
  </si>
  <si>
    <t>Issue 1067</t>
  </si>
  <si>
    <t>Issue 1068</t>
  </si>
  <si>
    <t>Issue 1069</t>
  </si>
  <si>
    <t>Issue 1070</t>
  </si>
  <si>
    <t>Issue 1071</t>
  </si>
  <si>
    <t>Issue 1072</t>
  </si>
  <si>
    <t>Issue 1073</t>
  </si>
  <si>
    <t>Issue 1074</t>
  </si>
  <si>
    <t>Issue 1075</t>
  </si>
  <si>
    <t>Issue 1076</t>
  </si>
  <si>
    <t>Issue 1077</t>
  </si>
  <si>
    <t>Issue 1078</t>
  </si>
  <si>
    <t>Issue 1079</t>
  </si>
  <si>
    <t>Issue 1080</t>
  </si>
  <si>
    <t>Issue 1081</t>
  </si>
  <si>
    <t>Issue 1082</t>
  </si>
  <si>
    <t>Issue 1083</t>
  </si>
  <si>
    <t>Issue 1084</t>
  </si>
  <si>
    <t>Issue 1085</t>
  </si>
  <si>
    <t>Issue 1086</t>
  </si>
  <si>
    <t>Issue 1087</t>
  </si>
  <si>
    <t>Issue 1088</t>
  </si>
  <si>
    <t>Issue 1089</t>
  </si>
  <si>
    <t>Issue 1090</t>
  </si>
  <si>
    <t>Issue 1091</t>
  </si>
  <si>
    <t>Issue 1092</t>
  </si>
  <si>
    <t>Issue 1093</t>
  </si>
  <si>
    <t>Issue 1094</t>
  </si>
  <si>
    <t>Issue 1095</t>
  </si>
  <si>
    <t>Issue 1096</t>
  </si>
  <si>
    <t>Issue 1097</t>
  </si>
  <si>
    <t>Issue 1098</t>
  </si>
  <si>
    <t>Issue 1099</t>
  </si>
  <si>
    <t>Issue 1100</t>
  </si>
  <si>
    <t>Issue 1101</t>
  </si>
  <si>
    <t>Issue 1103</t>
  </si>
  <si>
    <t>Issue 1104</t>
  </si>
  <si>
    <t>Issue 1105</t>
  </si>
  <si>
    <t>Issue 1106</t>
  </si>
  <si>
    <t>Issue 1107</t>
  </si>
  <si>
    <t>Issue 1108</t>
  </si>
  <si>
    <t>Issue 1109</t>
  </si>
  <si>
    <t>Issue 1110</t>
  </si>
  <si>
    <t>Issue 1111</t>
  </si>
  <si>
    <t>Issue 1112</t>
  </si>
  <si>
    <t>Issue 1113</t>
  </si>
  <si>
    <t>Issue 1114</t>
  </si>
  <si>
    <t>Issue 1115</t>
  </si>
  <si>
    <t>Issue 1116</t>
  </si>
  <si>
    <t>Issue 1117</t>
  </si>
  <si>
    <t>Issue 1118</t>
  </si>
  <si>
    <t>Issue 1119</t>
  </si>
  <si>
    <t>Issue 1120</t>
  </si>
  <si>
    <t>Issue 1121</t>
  </si>
  <si>
    <t>Issue 1122</t>
  </si>
  <si>
    <t>Issue 1123</t>
  </si>
  <si>
    <t>Issue 1124</t>
  </si>
  <si>
    <t>Issue 1125</t>
  </si>
  <si>
    <t>Issue 1126</t>
  </si>
  <si>
    <t>Issue 1127</t>
  </si>
  <si>
    <t>Issue 1128</t>
  </si>
  <si>
    <t>Issue 1129</t>
  </si>
  <si>
    <t>Issue 1130</t>
  </si>
  <si>
    <t>Issue 1131</t>
  </si>
  <si>
    <t>Issue 1132</t>
  </si>
  <si>
    <t>Issue 1133</t>
  </si>
  <si>
    <t>Issue 1134</t>
  </si>
  <si>
    <t>Issue 1135</t>
  </si>
  <si>
    <t>Issue 1136</t>
  </si>
  <si>
    <t>Issue 1137</t>
  </si>
  <si>
    <t>Issue 1138</t>
  </si>
  <si>
    <t>Issue 1139</t>
  </si>
  <si>
    <t>Issue 1140</t>
  </si>
  <si>
    <t>Issue 1141</t>
  </si>
  <si>
    <t>Issue 1142</t>
  </si>
  <si>
    <t>Issue 1143</t>
  </si>
  <si>
    <t>Issue 1144</t>
  </si>
  <si>
    <t>Issue 1145</t>
  </si>
  <si>
    <t>Issue 1146</t>
  </si>
  <si>
    <t>Issue 1147</t>
  </si>
  <si>
    <t>Issue 1148</t>
  </si>
  <si>
    <t>Issue 1149</t>
  </si>
  <si>
    <t>Issue 1150</t>
  </si>
  <si>
    <t>Issue 1151</t>
  </si>
  <si>
    <t>Issue 1152</t>
  </si>
  <si>
    <t>Issue 1153</t>
  </si>
  <si>
    <t>Issue 1154</t>
  </si>
  <si>
    <t>Issue 1155</t>
  </si>
  <si>
    <t>Issue 1156</t>
  </si>
  <si>
    <t>Issue 1157</t>
  </si>
  <si>
    <t>Issue 1158</t>
  </si>
  <si>
    <t>Issue 1159</t>
  </si>
  <si>
    <t>Issue 1160</t>
  </si>
  <si>
    <t>Issue 1161</t>
  </si>
  <si>
    <t>Issue 1162</t>
  </si>
  <si>
    <t>Issue 1163</t>
  </si>
  <si>
    <t>Issue 1164</t>
  </si>
  <si>
    <t>Issue 1165</t>
  </si>
  <si>
    <t>Issue 1166</t>
  </si>
  <si>
    <t>Issue 1167</t>
  </si>
  <si>
    <t>Issue 1168</t>
  </si>
  <si>
    <t>Issue 1169</t>
  </si>
  <si>
    <t>Issue 1170</t>
  </si>
  <si>
    <t>Issue 1171</t>
  </si>
  <si>
    <t>Issue 1172</t>
  </si>
  <si>
    <t>Issue 1173</t>
  </si>
  <si>
    <t>Issue 1174</t>
  </si>
  <si>
    <t>Issue 1175</t>
  </si>
  <si>
    <t>Issue 1176</t>
  </si>
  <si>
    <t>Issue 1177</t>
  </si>
  <si>
    <t>Issue 1178</t>
  </si>
  <si>
    <t>Issue 1179</t>
  </si>
  <si>
    <t>Issue 1180</t>
  </si>
  <si>
    <t>Issue 1181</t>
  </si>
  <si>
    <t>Issue 1182</t>
  </si>
  <si>
    <t>Issue 1183</t>
  </si>
  <si>
    <t>Issue 1184</t>
  </si>
  <si>
    <t>Issue 1185</t>
  </si>
  <si>
    <t>Issue 1186</t>
  </si>
  <si>
    <t>Issue 1187</t>
  </si>
  <si>
    <t>Issue 1188</t>
  </si>
  <si>
    <t>Issue 1189</t>
  </si>
  <si>
    <t>Issue 1190</t>
  </si>
  <si>
    <t>Issue 1191</t>
  </si>
  <si>
    <t>Issue 1192</t>
  </si>
  <si>
    <t>Issue 1193</t>
  </si>
  <si>
    <t>Issue 1194</t>
  </si>
  <si>
    <t>Issue 1195</t>
  </si>
  <si>
    <t>Issue 1196</t>
  </si>
  <si>
    <t>Issue 1197</t>
  </si>
  <si>
    <t>Issue 1198</t>
  </si>
  <si>
    <t>Issue 1199</t>
  </si>
  <si>
    <t>Issue 1200</t>
  </si>
  <si>
    <t>Issue 1201</t>
  </si>
  <si>
    <t>Issue 1202</t>
  </si>
  <si>
    <t>Issue 1203</t>
  </si>
  <si>
    <t>Issue 1204</t>
  </si>
  <si>
    <t>Issue 1205</t>
  </si>
  <si>
    <t>Issue 1206</t>
  </si>
  <si>
    <t>Issue 1207</t>
  </si>
  <si>
    <t>Issue 1208</t>
  </si>
  <si>
    <t>Issue 1209</t>
  </si>
  <si>
    <t>Issue 1210</t>
  </si>
  <si>
    <t>Issue 1211</t>
  </si>
  <si>
    <t>Issue 1212</t>
  </si>
  <si>
    <t>Issue 1213</t>
  </si>
  <si>
    <t>Issue 1214</t>
  </si>
  <si>
    <t>Issue 1215</t>
  </si>
  <si>
    <t>Issue 1216</t>
  </si>
  <si>
    <t>Issue 1217</t>
  </si>
  <si>
    <t>&lt;02/09/2025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</si>
</sst>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\ mmm\ yyyy"/>
  </numFmts>
  <fonts count="6" x14ac:knownFonts="1">
    <font>
      <sz val="10"/>
      <color rgb="FF000000"/>
      <name val="Arial"/>
      <scheme val="minor"/>
    </font>
    <font>
      <sz val="10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sz val="10"/>
      <color rgb="FF000000"/>
      <name val="Arial Black"/>
      <family val="2"/>
    </font>
    <font>
      <sz val="8"/>
      <name val="Arial"/>
      <family val="2"/>
      <scheme val="minor"/>
    </font>
    <font>
      <b/>
      <sz val="20"/>
      <color rgb="FF000000"/>
      <name val="Arial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/>
    <xf numFmtId="0" fontId="3" fillId="0" borderId="0" xfId="0" applyFont="1"/>
    <xf numFmtId="164" fontId="3" fillId="0" borderId="0" xfId="0" applyNumberFormat="1" applyFon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" xfId="0" applyBorder="1"/>
    <xf numFmtId="0" fontId="0" fillId="0" borderId="12" xfId="0" applyBorder="1"/>
    <xf numFmtId="0" fontId="0" fillId="0" borderId="1" xfId="0" pivotButton="1" applyBorder="1"/>
    <xf numFmtId="0" fontId="3" fillId="3" borderId="0" xfId="0" applyFont="1" applyFill="1"/>
    <xf numFmtId="14" fontId="3" fillId="0" borderId="0" xfId="0" applyNumberFormat="1" applyFont="1"/>
    <xf numFmtId="0" fontId="0" fillId="0" borderId="2" xfId="0" pivotButton="1" applyBorder="1"/>
    <xf numFmtId="0" fontId="0" fillId="0" borderId="13" xfId="0" pivotButton="1" applyBorder="1"/>
    <xf numFmtId="0" fontId="0" fillId="0" borderId="15" xfId="0" applyBorder="1"/>
    <xf numFmtId="0" fontId="2" fillId="2" borderId="3" xfId="0" applyFont="1" applyFill="1" applyBorder="1"/>
    <xf numFmtId="0" fontId="2" fillId="2" borderId="4" xfId="0" applyFont="1" applyFill="1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16" xfId="0" pivotButton="1" applyBorder="1"/>
    <xf numFmtId="0" fontId="0" fillId="0" borderId="16" xfId="0" applyBorder="1"/>
    <xf numFmtId="0" fontId="0" fillId="0" borderId="2" xfId="0" applyBorder="1"/>
    <xf numFmtId="0" fontId="0" fillId="0" borderId="3" xfId="0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2" borderId="5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2" fillId="2" borderId="14" xfId="0" applyFont="1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0" xfId="0" applyNumberFormat="1"/>
    <xf numFmtId="0" fontId="0" fillId="0" borderId="10" xfId="0" applyNumberFormat="1" applyBorder="1"/>
    <xf numFmtId="0" fontId="0" fillId="0" borderId="11" xfId="0" applyNumberFormat="1" applyBorder="1"/>
    <xf numFmtId="0" fontId="0" fillId="0" borderId="1" xfId="0" applyNumberFormat="1" applyBorder="1"/>
    <xf numFmtId="0" fontId="0" fillId="0" borderId="24" xfId="0" applyNumberFormat="1" applyBorder="1"/>
    <xf numFmtId="0" fontId="0" fillId="0" borderId="25" xfId="0" applyNumberFormat="1" applyBorder="1"/>
    <xf numFmtId="0" fontId="0" fillId="0" borderId="12" xfId="0" applyNumberFormat="1" applyBorder="1"/>
    <xf numFmtId="0" fontId="0" fillId="0" borderId="0" xfId="0" applyBorder="1"/>
  </cellXfs>
  <cellStyles count="1">
    <cellStyle name="Normal" xfId="0" builtinId="0"/>
  </cellStyles>
  <dxfs count="145"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Arial Black"/>
        <family val="2"/>
        <scheme val="none"/>
      </font>
      <numFmt numFmtId="19" formatCode="dd/mm/yyyy"/>
    </dxf>
    <dxf>
      <font>
        <strike val="0"/>
        <outline val="0"/>
        <shadow val="0"/>
        <u val="none"/>
        <vertAlign val="baseline"/>
        <sz val="10"/>
        <color rgb="FF000000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000000"/>
        <name val="Arial Black"/>
        <family val="2"/>
        <scheme val="none"/>
      </font>
      <numFmt numFmtId="19" formatCode="dd/mm/yyyy"/>
    </dxf>
    <dxf>
      <font>
        <strike val="0"/>
        <outline val="0"/>
        <shadow val="0"/>
        <u val="none"/>
        <vertAlign val="baseline"/>
        <sz val="10"/>
        <color rgb="FF000000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000000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Black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rgb="FF000000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000000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000000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Black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rgb="FF000000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000000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000000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000000"/>
        <name val="Arial Black"/>
        <family val="2"/>
        <scheme val="none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 tint="-0.499984740745262"/>
        </patternFill>
      </fill>
    </dxf>
    <dxf>
      <font>
        <b val="0"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4" tint="0.39994506668294322"/>
        </patternFill>
      </fill>
    </dxf>
    <dxf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bgColor rgb="FF00B0F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8"/>
        </patternFill>
      </fill>
    </dxf>
    <dxf>
      <fill>
        <patternFill>
          <bgColor theme="2" tint="-0.34998626667073579"/>
        </patternFill>
      </fill>
    </dxf>
    <dxf>
      <font>
        <b/>
        <i val="0"/>
      </font>
      <fill>
        <patternFill>
          <fgColor indexed="64"/>
          <bgColor rgb="FFFF0000"/>
        </patternFill>
      </fill>
    </dxf>
    <dxf>
      <font>
        <color theme="2"/>
      </font>
      <fill>
        <patternFill>
          <bgColor rgb="FF8A28A8"/>
        </patternFill>
      </fill>
    </dxf>
    <dxf>
      <font>
        <b val="0"/>
        <i val="0"/>
      </font>
      <fill>
        <patternFill>
          <bgColor theme="2" tint="-4.9989318521683403E-2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B7B7B7"/>
          <bgColor rgb="FFB7B7B7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00FFFF"/>
          <bgColor rgb="FF00FFFF"/>
        </patternFill>
      </fill>
    </dxf>
    <dxf>
      <fill>
        <patternFill patternType="solid">
          <fgColor rgb="FF000000"/>
          <bgColor rgb="FF000000"/>
        </patternFill>
      </fill>
    </dxf>
    <dxf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z val="10"/>
        <color theme="0"/>
      </font>
      <border>
        <bottom style="thin">
          <color theme="4"/>
        </bottom>
        <vertical/>
        <horizontal/>
      </border>
    </dxf>
    <dxf>
      <font>
        <b/>
        <i val="0"/>
        <color theme="0"/>
      </font>
      <fill>
        <patternFill>
          <bgColor rgb="FFA118B8"/>
        </patternFill>
      </fill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/>
        <sz val="11"/>
        <color theme="1"/>
      </font>
      <border>
        <vertical/>
        <horizontal/>
      </border>
    </dxf>
    <dxf>
      <font>
        <color theme="1"/>
      </font>
      <fill>
        <patternFill>
          <bgColor theme="4" tint="0.79998168889431442"/>
        </patternFill>
      </fill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/>
        <i val="0"/>
        <sz val="26"/>
        <color theme="1"/>
        <name val="Arial"/>
        <family val="2"/>
        <scheme val="minor"/>
      </font>
      <border>
        <vertical/>
        <horizontal/>
      </border>
    </dxf>
    <dxf>
      <font>
        <sz val="16"/>
        <color theme="1"/>
        <name val="Arial"/>
        <family val="2"/>
        <scheme val="minor"/>
      </font>
      <fill>
        <patternFill>
          <bgColor theme="4" tint="0.79998168889431442"/>
        </patternFill>
      </fill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</dxfs>
  <tableStyles count="5" defaultTableStyle="TableStyleMedium2" defaultPivotStyle="PivotStyleLight16">
    <tableStyle name="Company X" pivot="0" table="0" count="9" xr9:uid="{09F43DF1-CD87-4FC0-AA73-1EDF76C24363}">
      <tableStyleElement type="wholeTable" dxfId="144"/>
      <tableStyleElement type="headerRow" dxfId="143"/>
    </tableStyle>
    <tableStyle name="Company x 2" pivot="0" table="0" count="9" xr9:uid="{4127A417-6AB3-467C-B4E4-576E9B71A6CE}">
      <tableStyleElement type="wholeTable" dxfId="142"/>
      <tableStyleElement type="headerRow" dxfId="141"/>
    </tableStyle>
    <tableStyle name="Customer support" pivot="0" table="0" count="10" xr9:uid="{0915468D-C947-4628-890D-F5B516E63FA0}">
      <tableStyleElement type="wholeTable" dxfId="140"/>
      <tableStyleElement type="headerRow" dxfId="139"/>
    </tableStyle>
    <tableStyle name="Sheet1-style" pivot="0" count="4" xr9:uid="{00000000-0011-0000-FFFF-FFFF00000000}">
      <tableStyleElement type="wholeTable" size="0" dxfId="138"/>
      <tableStyleElement type="headerRow" dxfId="137"/>
      <tableStyleElement type="firstRowStripe" dxfId="136"/>
      <tableStyleElement type="secondRowStripe" dxfId="135"/>
    </tableStyle>
    <tableStyle name="Sheet3-style" pivot="0" count="4" xr9:uid="{00000000-0011-0000-FFFF-FFFF01000000}">
      <tableStyleElement type="wholeTable" size="0" dxfId="134"/>
      <tableStyleElement type="headerRow" dxfId="133"/>
      <tableStyleElement type="firstRowStripe" dxfId="132"/>
      <tableStyleElement type="secondRowStripe" dxfId="131"/>
    </tableStyle>
  </tableStyles>
  <colors>
    <mruColors>
      <color rgb="FFA118B8"/>
      <color rgb="FFD9E7FD"/>
      <color rgb="FF8A28A8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b val="0"/>
            <i val="0"/>
            <sz val="14"/>
            <color rgb="FF000000"/>
            <name val="Calibri"/>
            <family val="2"/>
            <scheme val="none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Customer support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A0A4C193-F2C1-4fcb-8827-314CF55A85BB}">
      <x15:dxfs count="14">
        <dxf>
          <fill>
            <patternFill patternType="solid">
              <fgColor theme="4" tint="0.39997558519241921"/>
              <bgColor theme="4" tint="0.39997558519241921"/>
            </patternFill>
          </fill>
          <border>
            <vertical/>
            <horizontal/>
          </border>
        </dxf>
        <dxf>
          <fill>
            <gradientFill degree="90">
              <stop position="0">
                <color theme="0" tint="-0.14999847407452621"/>
              </stop>
              <stop position="1">
                <color theme="0" tint="-0.14999847407452621"/>
              </stop>
            </gradientFill>
          </fill>
          <border>
            <vertical/>
            <horizontal/>
          </border>
        </dxf>
        <dxf>
          <fill>
            <gradientFill degree="90">
              <stop position="0">
                <color theme="4" tint="0.59999389629810485"/>
              </stop>
              <stop position="1">
                <color theme="4"/>
              </stop>
            </gradientFill>
          </fill>
          <border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b/>
            <i val="0"/>
            <sz val="14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14"/>
            <color theme="3"/>
          </font>
          <border>
            <left/>
            <right/>
            <top/>
            <bottom/>
            <vertical/>
            <horizontal/>
          </border>
        </dxf>
        <dxf>
          <font>
            <b/>
            <i val="0"/>
            <sz val="16"/>
            <color theme="4" tint="-0.249977111117893"/>
          </font>
          <border>
            <left/>
            <right/>
            <top/>
            <bottom/>
            <vertical/>
            <horizontal/>
          </border>
        </dxf>
        <dxf>
          <fill>
            <patternFill patternType="solid">
              <fgColor theme="4" tint="0.39997558519241921"/>
              <bgColor theme="4" tint="0.39997558519241921"/>
            </patternFill>
          </fill>
          <border>
            <vertical/>
            <horizontal/>
          </border>
        </dxf>
        <dxf>
          <fill>
            <gradientFill degree="90">
              <stop position="0">
                <color theme="0" tint="-0.14999847407452621"/>
              </stop>
              <stop position="1">
                <color theme="0" tint="-0.14999847407452621"/>
              </stop>
            </gradientFill>
          </fill>
          <border>
            <vertical/>
            <horizontal/>
          </border>
        </dxf>
        <dxf>
          <fill>
            <gradientFill degree="90">
              <stop position="0">
                <color theme="4" tint="0.59999389629810485"/>
              </stop>
              <stop position="1">
                <color theme="4"/>
              </stop>
            </gradientFill>
          </fill>
          <border>
            <vertical/>
            <horizontal/>
          </border>
        </dxf>
        <dxf>
          <font>
            <b val="0"/>
            <i val="0"/>
            <sz val="18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b/>
            <i val="0"/>
            <sz val="24"/>
            <color theme="1" tint="4.9989318521683403E-2"/>
          </font>
          <border>
            <left/>
            <right/>
            <top/>
            <bottom/>
            <vertical/>
            <horizontal/>
          </border>
        </dxf>
        <dxf>
          <font>
            <sz val="24"/>
            <color theme="3"/>
          </font>
          <border>
            <left/>
            <right/>
            <top/>
            <bottom/>
            <vertical/>
            <horizontal/>
          </border>
        </dxf>
        <dxf>
          <font>
            <b/>
            <i val="0"/>
            <sz val="16"/>
            <color theme="4" tint="-0.249977111117893"/>
          </font>
          <border>
            <left/>
            <right/>
            <top/>
            <bottom/>
            <vertical/>
            <horizontal/>
          </border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Company X">
          <x15:timelineStyleElements>
            <x15:timelineStyleElement type="selectionLabel" dxfId="13"/>
            <x15:timelineStyleElement type="timeLevel" dxfId="12"/>
            <x15:timelineStyleElement type="periodLabel1" dxfId="11"/>
            <x15:timelineStyleElement type="periodLabel2" dxfId="10"/>
            <x15:timelineStyleElement type="selectedTimeBlock" dxfId="9"/>
            <x15:timelineStyleElement type="unselectedTimeBlock" dxfId="8"/>
            <x15:timelineStyleElement type="selectedTimeBlockSpace" dxfId="7"/>
          </x15:timelineStyleElements>
        </x15:timelineStyle>
        <x15:timelineStyle name="Company x 2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1/relationships/timelineCache" Target="timelineCaches/timelineCache2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1/relationships/timelineCache" Target="timelineCaches/timelineCache1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[customer-support-operations-dashboard.xlsm]Analysis!PivotTable1</c:name>
    <c:fmtId val="2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solidFill>
              <a:schemeClr val="accent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>
                      <a:lumMod val="9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solidFill>
              <a:schemeClr val="accent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>
                      <a:lumMod val="9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>
            <a:gsLst>
              <a:gs pos="5000">
                <a:srgbClr val="FF0000"/>
              </a:gs>
              <a:gs pos="100000">
                <a:srgbClr val="8A28A8">
                  <a:alpha val="50000"/>
                </a:srgbClr>
              </a:gs>
            </a:gsLst>
            <a:lin ang="5400000" scaled="0"/>
          </a:gradFill>
          <a:ln>
            <a:noFill/>
          </a:ln>
          <a:effectLst/>
          <a:sp3d/>
        </c:spPr>
      </c:pivotFmt>
      <c:pivotFmt>
        <c:idx val="4"/>
        <c:spPr>
          <a:gradFill>
            <a:gsLst>
              <a:gs pos="0">
                <a:schemeClr val="accent5"/>
              </a:gs>
              <a:gs pos="100000">
                <a:schemeClr val="accent1">
                  <a:lumMod val="30000"/>
                  <a:lumOff val="70000"/>
                  <a:alpha val="50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</c:pivotFmt>
      <c:pivotFmt>
        <c:idx val="5"/>
        <c:spPr>
          <a:gradFill>
            <a:gsLst>
              <a:gs pos="0">
                <a:srgbClr val="00B05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/>
          <a:sp3d/>
        </c:spPr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Analysis!$B$8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5000">
                    <a:srgbClr val="FF0000"/>
                  </a:gs>
                  <a:gs pos="100000">
                    <a:srgbClr val="8A28A8">
                      <a:alpha val="50000"/>
                    </a:srgb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983E-470B-9368-DA18CB1C1AEA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1">
                      <a:lumMod val="30000"/>
                      <a:lumOff val="70000"/>
                      <a:alpha val="50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83E-470B-9368-DA18CB1C1AEA}"/>
              </c:ext>
            </c:extLst>
          </c:dPt>
          <c:dPt>
            <c:idx val="2"/>
            <c:invertIfNegative val="0"/>
            <c:bubble3D val="0"/>
            <c:spPr>
              <a:gradFill>
                <a:gsLst>
                  <a:gs pos="0">
                    <a:srgbClr val="00B050"/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983E-470B-9368-DA18CB1C1AE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Analysis!$A$9:$A$12</c:f>
              <c:strCache>
                <c:ptCount val="3"/>
                <c:pt idx="0">
                  <c:v>CRITICAL</c:v>
                </c:pt>
                <c:pt idx="1">
                  <c:v>HIGH</c:v>
                </c:pt>
                <c:pt idx="2">
                  <c:v>LOW</c:v>
                </c:pt>
              </c:strCache>
            </c:strRef>
          </c:cat>
          <c:val>
            <c:numRef>
              <c:f>Analysis!$B$9:$B$12</c:f>
              <c:numCache>
                <c:formatCode>General</c:formatCode>
                <c:ptCount val="3"/>
                <c:pt idx="0">
                  <c:v>5</c:v>
                </c:pt>
                <c:pt idx="1">
                  <c:v>5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3E-470B-9368-DA18CB1C1AE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40990223"/>
        <c:axId val="40973903"/>
        <c:axId val="0"/>
      </c:bar3DChart>
      <c:catAx>
        <c:axId val="409902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73903"/>
        <c:crosses val="autoZero"/>
        <c:auto val="1"/>
        <c:lblAlgn val="ctr"/>
        <c:lblOffset val="100"/>
        <c:noMultiLvlLbl val="0"/>
      </c:catAx>
      <c:valAx>
        <c:axId val="409739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09902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[customer-support-operations-dashboard.xlsm]Analysis!PbyStatus</c:name>
    <c:fmtId val="10"/>
  </c:pivotSource>
  <c:chart>
    <c:autoTitleDeleted val="1"/>
    <c:pivotFmts>
      <c:pivotFmt>
        <c:idx val="0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0">
                <a:srgbClr val="00B05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5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>
            <a:gsLst>
              <a:gs pos="0">
                <a:srgbClr val="8A28A8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4"/>
        <c:spPr>
          <a:gradFill>
            <a:gsLst>
              <a:gs pos="0">
                <a:srgbClr val="FF000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5"/>
        <c:spPr>
          <a:gradFill>
            <a:gsLst>
              <a:gs pos="0">
                <a:srgbClr val="00B05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6"/>
        <c:spPr>
          <a:gradFill>
            <a:gsLst>
              <a:gs pos="0">
                <a:srgbClr val="00B05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7"/>
        <c:spPr>
          <a:gradFill>
            <a:gsLst>
              <a:gs pos="0">
                <a:srgbClr val="00B05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>
            <a:gsLst>
              <a:gs pos="0">
                <a:srgbClr val="00B05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9"/>
        <c:spPr>
          <a:gradFill>
            <a:gsLst>
              <a:gs pos="0">
                <a:srgbClr val="00B05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10"/>
        <c:spPr>
          <a:gradFill>
            <a:gsLst>
              <a:gs pos="0">
                <a:srgbClr val="00B05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1.7793553383504697E-2"/>
          <c:y val="0.12074303705697262"/>
          <c:w val="0.98039007322751248"/>
          <c:h val="0.74257818712124546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Analysis!$B$24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rgbClr val="00B050"/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rgbClr val="00B050"/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B62-4468-BACA-2779121AE343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rgbClr val="8A28A8"/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DE7-4062-ABE9-6B7060B0AA49}"/>
              </c:ext>
            </c:extLst>
          </c:dPt>
          <c:dPt>
            <c:idx val="2"/>
            <c:invertIfNegative val="0"/>
            <c:bubble3D val="0"/>
            <c:spPr>
              <a:gradFill>
                <a:gsLst>
                  <a:gs pos="0">
                    <a:srgbClr val="00B050"/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FDE7-4062-ABE9-6B7060B0AA49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rgbClr val="FF0000"/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3772-4A15-8EEB-209E1C540B6F}"/>
              </c:ext>
            </c:extLst>
          </c:dPt>
          <c:dPt>
            <c:idx val="4"/>
            <c:invertIfNegative val="0"/>
            <c:bubble3D val="0"/>
            <c:spPr>
              <a:gradFill>
                <a:gsLst>
                  <a:gs pos="0">
                    <a:srgbClr val="00B050"/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3772-4A15-8EEB-209E1C540B6F}"/>
              </c:ext>
            </c:extLst>
          </c:dPt>
          <c:dPt>
            <c:idx val="5"/>
            <c:invertIfNegative val="0"/>
            <c:bubble3D val="0"/>
            <c:spPr>
              <a:gradFill>
                <a:gsLst>
                  <a:gs pos="0">
                    <a:srgbClr val="00B050"/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3772-4A15-8EEB-209E1C540B6F}"/>
              </c:ext>
            </c:extLst>
          </c:dPt>
          <c:dPt>
            <c:idx val="6"/>
            <c:invertIfNegative val="0"/>
            <c:bubble3D val="0"/>
            <c:spPr>
              <a:gradFill>
                <a:gsLst>
                  <a:gs pos="0">
                    <a:srgbClr val="00B050"/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3772-4A15-8EEB-209E1C540B6F}"/>
              </c:ext>
            </c:extLst>
          </c:dPt>
          <c:dPt>
            <c:idx val="7"/>
            <c:invertIfNegative val="0"/>
            <c:bubble3D val="0"/>
            <c:spPr>
              <a:gradFill>
                <a:gsLst>
                  <a:gs pos="0">
                    <a:srgbClr val="00B050"/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4FCA-4ED3-B567-5DBA5B4A663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5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Analysis!$A$25:$A$29</c:f>
              <c:strCache>
                <c:ptCount val="4"/>
                <c:pt idx="0">
                  <c:v>CLOSED</c:v>
                </c:pt>
                <c:pt idx="1">
                  <c:v>IN PROGRESS</c:v>
                </c:pt>
                <c:pt idx="2">
                  <c:v>DEFERRED</c:v>
                </c:pt>
                <c:pt idx="3">
                  <c:v>ESCALATED</c:v>
                </c:pt>
              </c:strCache>
            </c:strRef>
          </c:cat>
          <c:val>
            <c:numRef>
              <c:f>Analysis!$B$25:$B$29</c:f>
              <c:numCache>
                <c:formatCode>General</c:formatCode>
                <c:ptCount val="4"/>
                <c:pt idx="0">
                  <c:v>55</c:v>
                </c:pt>
                <c:pt idx="1">
                  <c:v>6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062-ABE9-6B7060B0AA49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375174864"/>
        <c:axId val="1375188304"/>
      </c:barChart>
      <c:catAx>
        <c:axId val="1375174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840000" spcFirstLastPara="1" vertOverflow="ellipsis" wrap="square" anchor="ctr" anchorCtr="0"/>
          <a:lstStyle/>
          <a:p>
            <a:pPr>
              <a:defRPr sz="16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188304"/>
        <c:crosses val="autoZero"/>
        <c:auto val="1"/>
        <c:lblAlgn val="ctr"/>
        <c:lblOffset val="100"/>
        <c:noMultiLvlLbl val="0"/>
      </c:catAx>
      <c:valAx>
        <c:axId val="137518830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375174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[customer-support-operations-dashboard.xlsm]Analysis!PResolvedAssignedTickets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5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92D050"/>
          </a:solidFill>
          <a:ln w="19050">
            <a:noFill/>
          </a:ln>
          <a:effectLst/>
        </c:spPr>
      </c:pivotFmt>
      <c:pivotFmt>
        <c:idx val="11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12"/>
        <c:spPr>
          <a:solidFill>
            <a:srgbClr val="FFFF00"/>
          </a:solidFill>
          <a:ln w="19050">
            <a:noFill/>
          </a:ln>
          <a:effectLst/>
        </c:spPr>
      </c:pivotFmt>
      <c:pivotFmt>
        <c:idx val="13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14"/>
        <c:spPr>
          <a:solidFill>
            <a:schemeClr val="accent1"/>
          </a:solidFill>
          <a:ln w="19050">
            <a:noFill/>
          </a:ln>
          <a:effectLst/>
        </c:spPr>
        <c:dLbl>
          <c:idx val="0"/>
          <c:layout>
            <c:manualLayout>
              <c:x val="-2.8197381671701913E-2"/>
              <c:y val="7.984031936127732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16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>
                      <a:lumMod val="9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>
                      <a:lumMod val="9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>
                      <a:lumMod val="9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23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bg1"/>
          </a:solidFill>
          <a:ln w="19050">
            <a:noFill/>
          </a:ln>
          <a:effectLst/>
        </c:spPr>
      </c:pivotFmt>
      <c:pivotFmt>
        <c:idx val="31"/>
        <c:spPr>
          <a:solidFill>
            <a:srgbClr val="8A28A8"/>
          </a:solidFill>
          <a:ln w="19050">
            <a:noFill/>
          </a:ln>
          <a:effectLst/>
        </c:spPr>
      </c:pivotFmt>
      <c:pivotFmt>
        <c:idx val="32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33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34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35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36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37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38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39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40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41"/>
        <c:spPr>
          <a:solidFill>
            <a:schemeClr val="accent1"/>
          </a:solidFill>
          <a:ln w="19050"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7.8357954500400437E-2"/>
          <c:y val="0"/>
          <c:w val="0.65621872794601577"/>
          <c:h val="1"/>
        </c:manualLayout>
      </c:layout>
      <c:doughnutChart>
        <c:varyColors val="1"/>
        <c:ser>
          <c:idx val="0"/>
          <c:order val="0"/>
          <c:tx>
            <c:strRef>
              <c:f>Analysis!$B$60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AD4-42EC-93E9-F0B401B9C94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AD4-42EC-93E9-F0B401B9C94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AD4-42EC-93E9-F0B401B9C94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AD4-42EC-93E9-F0B401B9C94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AD4-42EC-93E9-F0B401B9C94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25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Analysis!$A$61:$A$65</c:f>
              <c:strCache>
                <c:ptCount val="5"/>
                <c:pt idx="0">
                  <c:v>Maverick</c:v>
                </c:pt>
                <c:pt idx="1">
                  <c:v>Team Lead 1</c:v>
                </c:pt>
                <c:pt idx="2">
                  <c:v>Team Lead 3</c:v>
                </c:pt>
                <c:pt idx="3">
                  <c:v>Agent E</c:v>
                </c:pt>
                <c:pt idx="4">
                  <c:v>Agent D</c:v>
                </c:pt>
              </c:strCache>
            </c:strRef>
          </c:cat>
          <c:val>
            <c:numRef>
              <c:f>Analysis!$B$61:$B$65</c:f>
              <c:numCache>
                <c:formatCode>General</c:formatCode>
                <c:ptCount val="5"/>
                <c:pt idx="0">
                  <c:v>243</c:v>
                </c:pt>
                <c:pt idx="1">
                  <c:v>122</c:v>
                </c:pt>
                <c:pt idx="2">
                  <c:v>71</c:v>
                </c:pt>
                <c:pt idx="3">
                  <c:v>41</c:v>
                </c:pt>
                <c:pt idx="4">
                  <c:v>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776-489B-B2D9-A837B70FDB4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solidFill>
            <a:schemeClr val="bg1">
              <a:lumMod val="95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[customer-support-operations-dashboard.xlsm]Analysis!PAccountType</c:name>
    <c:fmtId val="17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5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A118B8"/>
          </a:solidFill>
          <a:ln w="19050">
            <a:noFill/>
          </a:ln>
          <a:effectLst/>
        </c:spPr>
      </c:pivotFmt>
      <c:pivotFmt>
        <c:idx val="6"/>
        <c:spPr>
          <a:solidFill>
            <a:schemeClr val="accent1">
              <a:lumMod val="60000"/>
              <a:lumOff val="40000"/>
            </a:schemeClr>
          </a:solidFill>
          <a:ln w="19050">
            <a:noFill/>
          </a:ln>
          <a:effectLst/>
        </c:spPr>
      </c:pivotFmt>
      <c:pivotFmt>
        <c:idx val="7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8"/>
        <c:spPr>
          <a:solidFill>
            <a:srgbClr val="A118B8"/>
          </a:solidFill>
          <a:ln w="19050">
            <a:noFill/>
          </a:ln>
          <a:effectLst/>
        </c:spPr>
      </c:pivotFmt>
      <c:pivotFmt>
        <c:idx val="9"/>
        <c:spPr>
          <a:solidFill>
            <a:schemeClr val="accent6">
              <a:lumMod val="20000"/>
              <a:lumOff val="80000"/>
            </a:schemeClr>
          </a:solidFill>
          <a:ln w="19050">
            <a:noFill/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Analysis!$B$75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A44-4993-B9B1-9C61BC9AF17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A44-4993-B9B1-9C61BC9AF17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5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Analysis!$A$76:$A$77</c:f>
              <c:strCache>
                <c:ptCount val="2"/>
                <c:pt idx="0">
                  <c:v>Company X</c:v>
                </c:pt>
                <c:pt idx="1">
                  <c:v>Company Y</c:v>
                </c:pt>
              </c:strCache>
            </c:strRef>
          </c:cat>
          <c:val>
            <c:numRef>
              <c:f>Analysis!$B$76:$B$77</c:f>
              <c:numCache>
                <c:formatCode>General</c:formatCode>
                <c:ptCount val="2"/>
                <c:pt idx="0">
                  <c:v>864</c:v>
                </c:pt>
                <c:pt idx="1">
                  <c:v>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D8E-4422-A086-8D57C4302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[customer-support-operations-dashboard.xlsm]Analysis!PTicketsCreatedTime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5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Analysis!$C$89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5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Analysis!$A$90:$B$104</c:f>
              <c:multiLvlStrCache>
                <c:ptCount val="15"/>
                <c:lvl>
                  <c:pt idx="0">
                    <c:v>May</c:v>
                  </c:pt>
                  <c:pt idx="1">
                    <c:v>Jun</c:v>
                  </c:pt>
                  <c:pt idx="2">
                    <c:v>Jul</c:v>
                  </c:pt>
                  <c:pt idx="3">
                    <c:v>Aug</c:v>
                  </c:pt>
                  <c:pt idx="4">
                    <c:v>Sep</c:v>
                  </c:pt>
                  <c:pt idx="5">
                    <c:v>Oct</c:v>
                  </c:pt>
                  <c:pt idx="6">
                    <c:v>Nov</c:v>
                  </c:pt>
                  <c:pt idx="7">
                    <c:v>Dec</c:v>
                  </c:pt>
                  <c:pt idx="8">
                    <c:v>Jan</c:v>
                  </c:pt>
                  <c:pt idx="9">
                    <c:v>Feb</c:v>
                  </c:pt>
                  <c:pt idx="10">
                    <c:v>Mar</c:v>
                  </c:pt>
                  <c:pt idx="11">
                    <c:v>Apr</c:v>
                  </c:pt>
                  <c:pt idx="12">
                    <c:v>May</c:v>
                  </c:pt>
                  <c:pt idx="13">
                    <c:v>Jun</c:v>
                  </c:pt>
                  <c:pt idx="14">
                    <c:v>Jul</c:v>
                  </c:pt>
                </c:lvl>
                <c:lvl>
                  <c:pt idx="0">
                    <c:v>2025</c:v>
                  </c:pt>
                  <c:pt idx="8">
                    <c:v>2026</c:v>
                  </c:pt>
                </c:lvl>
              </c:multiLvlStrCache>
            </c:multiLvlStrRef>
          </c:cat>
          <c:val>
            <c:numRef>
              <c:f>Analysis!$C$90:$C$104</c:f>
              <c:numCache>
                <c:formatCode>General</c:formatCode>
                <c:ptCount val="15"/>
                <c:pt idx="0">
                  <c:v>1</c:v>
                </c:pt>
                <c:pt idx="1">
                  <c:v>6</c:v>
                </c:pt>
                <c:pt idx="2">
                  <c:v>8</c:v>
                </c:pt>
                <c:pt idx="3">
                  <c:v>43</c:v>
                </c:pt>
                <c:pt idx="4">
                  <c:v>76</c:v>
                </c:pt>
                <c:pt idx="5">
                  <c:v>76</c:v>
                </c:pt>
                <c:pt idx="6">
                  <c:v>55</c:v>
                </c:pt>
                <c:pt idx="7">
                  <c:v>73</c:v>
                </c:pt>
                <c:pt idx="8">
                  <c:v>116</c:v>
                </c:pt>
                <c:pt idx="9">
                  <c:v>98</c:v>
                </c:pt>
                <c:pt idx="10">
                  <c:v>90</c:v>
                </c:pt>
                <c:pt idx="11">
                  <c:v>103</c:v>
                </c:pt>
                <c:pt idx="12">
                  <c:v>110</c:v>
                </c:pt>
                <c:pt idx="13">
                  <c:v>101</c:v>
                </c:pt>
                <c:pt idx="14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01-4EF4-A5E8-A2AAFA4BD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3249168"/>
        <c:axId val="793251568"/>
      </c:lineChart>
      <c:catAx>
        <c:axId val="793249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251568"/>
        <c:crosses val="autoZero"/>
        <c:auto val="1"/>
        <c:lblAlgn val="ctr"/>
        <c:lblOffset val="100"/>
        <c:noMultiLvlLbl val="0"/>
      </c:catAx>
      <c:valAx>
        <c:axId val="7932515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93249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[customer-support-operations-dashboard.xlsm]Analysis!PbyCategory</c:name>
    <c:fmtId val="16"/>
  </c:pivotSource>
  <c:chart>
    <c:autoTitleDeleted val="1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0">
                <a:srgbClr val="00B05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>
            <a:gsLst>
              <a:gs pos="0">
                <a:srgbClr val="00B05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</c:pivotFmt>
      <c:pivotFmt>
        <c:idx val="4"/>
        <c:spPr>
          <a:gradFill>
            <a:gsLst>
              <a:gs pos="0">
                <a:srgbClr val="FF000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</c:pivotFmt>
      <c:pivotFmt>
        <c:idx val="5"/>
        <c:spPr>
          <a:gradFill>
            <a:gsLst>
              <a:gs pos="0">
                <a:schemeClr val="accent1">
                  <a:lumMod val="7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</c:pivotFmt>
      <c:pivotFmt>
        <c:idx val="6"/>
        <c:spPr>
          <a:gradFill>
            <a:gsLst>
              <a:gs pos="0">
                <a:srgbClr val="7030A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</c:pivotFmt>
      <c:pivotFmt>
        <c:idx val="7"/>
        <c:spPr>
          <a:gradFill>
            <a:gsLst>
              <a:gs pos="0">
                <a:schemeClr val="accent5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</c:pivotFmt>
      <c:pivotFmt>
        <c:idx val="8"/>
        <c:spPr>
          <a:gradFill>
            <a:gsLst>
              <a:gs pos="0">
                <a:srgbClr val="00B05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dLbl>
          <c:idx val="0"/>
          <c:spPr>
            <a:noFill/>
            <a:ln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>
            <a:gsLst>
              <a:gs pos="0">
                <a:srgbClr val="00B05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Analysis!$B$40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rgbClr val="00B050"/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rgbClr val="00B050"/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67DD-403F-A59B-BF225EF83D08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C2BA-42AF-B235-F387CFCE5B29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B479-4D17-A7E2-22D8D69B5340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rgbClr val="7030A0"/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C2BA-42AF-B235-F387CFCE5B29}"/>
              </c:ext>
            </c:extLst>
          </c:dPt>
          <c:dPt>
            <c:idx val="4"/>
            <c:invertIfNegative val="0"/>
            <c:bubble3D val="0"/>
            <c:spPr>
              <a:gradFill>
                <a:gsLst>
                  <a:gs pos="0">
                    <a:srgbClr val="FF0000"/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BA-42AF-B235-F387CFCE5B29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C2BA-42AF-B235-F387CFCE5B29}"/>
              </c:ext>
            </c:extLst>
          </c:dPt>
          <c:dPt>
            <c:idx val="6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A070-4532-862C-3467D7BF709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80A9-43FF-AC1C-E41FB21179DB}"/>
              </c:ext>
            </c:extLst>
          </c:dPt>
          <c:dLbls>
            <c:dLbl>
              <c:idx val="0"/>
              <c:spPr>
                <a:noFill/>
                <a:ln>
                  <a:gradFill>
                    <a:gsLst>
                      <a:gs pos="0">
                        <a:schemeClr val="accent1">
                          <a:lumMod val="5000"/>
                          <a:lumOff val="95000"/>
                        </a:schemeClr>
                      </a:gs>
                      <a:gs pos="74000">
                        <a:schemeClr val="accent1">
                          <a:lumMod val="45000"/>
                          <a:lumOff val="55000"/>
                        </a:schemeClr>
                      </a:gs>
                      <a:gs pos="83000">
                        <a:schemeClr val="accent1">
                          <a:lumMod val="45000"/>
                          <a:lumOff val="55000"/>
                        </a:schemeClr>
                      </a:gs>
                      <a:gs pos="100000">
                        <a:schemeClr val="accent1">
                          <a:lumMod val="30000"/>
                          <a:lumOff val="70000"/>
                        </a:schemeClr>
                      </a:gs>
                    </a:gsLst>
                    <a:lin ang="5400000" scaled="1"/>
                  </a:gra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7DD-403F-A59B-BF225EF83D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Analysis!$A$41:$A$49</c:f>
              <c:strCache>
                <c:ptCount val="8"/>
                <c:pt idx="0">
                  <c:v>International Users</c:v>
                </c:pt>
                <c:pt idx="1">
                  <c:v>Technical / Platform Issues</c:v>
                </c:pt>
                <c:pt idx="2">
                  <c:v>Documents &amp; Compliance</c:v>
                </c:pt>
                <c:pt idx="3">
                  <c:v>Subscriptions &amp; Billing</c:v>
                </c:pt>
                <c:pt idx="4">
                  <c:v>Account Closure &amp; Deletion</c:v>
                </c:pt>
                <c:pt idx="5">
                  <c:v>Account &amp; Access</c:v>
                </c:pt>
                <c:pt idx="6">
                  <c:v>Investments &amp; Strategies</c:v>
                </c:pt>
                <c:pt idx="7">
                  <c:v>Bank &amp; Deposit Related</c:v>
                </c:pt>
              </c:strCache>
            </c:strRef>
          </c:cat>
          <c:val>
            <c:numRef>
              <c:f>Analysis!$B$41:$B$49</c:f>
              <c:numCache>
                <c:formatCode>General</c:formatCode>
                <c:ptCount val="8"/>
                <c:pt idx="0">
                  <c:v>34</c:v>
                </c:pt>
                <c:pt idx="1">
                  <c:v>58</c:v>
                </c:pt>
                <c:pt idx="2">
                  <c:v>67</c:v>
                </c:pt>
                <c:pt idx="3">
                  <c:v>87</c:v>
                </c:pt>
                <c:pt idx="4">
                  <c:v>124</c:v>
                </c:pt>
                <c:pt idx="5">
                  <c:v>142</c:v>
                </c:pt>
                <c:pt idx="6">
                  <c:v>173</c:v>
                </c:pt>
                <c:pt idx="7">
                  <c:v>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BA-42AF-B235-F387CFCE5B29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17"/>
        <c:axId val="1375183024"/>
        <c:axId val="1375185424"/>
      </c:barChart>
      <c:catAx>
        <c:axId val="13751830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1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185424"/>
        <c:crosses val="autoZero"/>
        <c:auto val="1"/>
        <c:lblAlgn val="ctr"/>
        <c:lblOffset val="100"/>
        <c:noMultiLvlLbl val="0"/>
      </c:catAx>
      <c:valAx>
        <c:axId val="137518542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75183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[customer-support-operations-dashboard.xlsm]Analysis!ResolvedVsUnresolvedPivot</c:name>
    <c:fmtId val="2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5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>
            <a:gsLst>
              <a:gs pos="0">
                <a:schemeClr val="accent4">
                  <a:lumMod val="40000"/>
                  <a:lumOff val="60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/>
        </c:spPr>
      </c:pivotFmt>
      <c:pivotFmt>
        <c:idx val="4"/>
        <c:spPr>
          <a:gradFill>
            <a:gsLst>
              <a:gs pos="0">
                <a:srgbClr val="C00000"/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Analysis!$B$105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E9C8-49ED-A6EB-427161E7AC75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E9C8-49ED-A6EB-427161E7AC7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5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Analysis!$A$106:$A$107</c:f>
              <c:strCache>
                <c:ptCount val="2"/>
                <c:pt idx="0">
                  <c:v>Done</c:v>
                </c:pt>
                <c:pt idx="1">
                  <c:v>Pending</c:v>
                </c:pt>
              </c:strCache>
            </c:strRef>
          </c:cat>
          <c:val>
            <c:numRef>
              <c:f>Analysis!$B$106:$B$107</c:f>
              <c:numCache>
                <c:formatCode>General</c:formatCode>
                <c:ptCount val="2"/>
                <c:pt idx="0">
                  <c:v>959</c:v>
                </c:pt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67C-490F-8D03-36D60CEC0D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1"/>
        <c:overlap val="-27"/>
        <c:axId val="472890768"/>
        <c:axId val="1087412080"/>
      </c:barChart>
      <c:catAx>
        <c:axId val="472890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7412080"/>
        <c:crosses val="autoZero"/>
        <c:auto val="1"/>
        <c:lblAlgn val="ctr"/>
        <c:lblOffset val="100"/>
        <c:noMultiLvlLbl val="0"/>
      </c:catAx>
      <c:valAx>
        <c:axId val="10874120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7289076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[customer-support-operations-dashboard.xlsm]Analysis!DateResolvedPivot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3922267105389733E-2"/>
          <c:y val="3.1746568514709986E-2"/>
          <c:w val="0.95607773203895219"/>
          <c:h val="0.75368895801817204"/>
        </c:manualLayout>
      </c:layout>
      <c:lineChart>
        <c:grouping val="standard"/>
        <c:varyColors val="0"/>
        <c:ser>
          <c:idx val="0"/>
          <c:order val="0"/>
          <c:tx>
            <c:strRef>
              <c:f>Analysis!$C$130</c:f>
              <c:strCache>
                <c:ptCount val="1"/>
                <c:pt idx="0">
                  <c:v>Total</c:v>
                </c:pt>
              </c:strCache>
            </c:strRef>
          </c:tx>
          <c:spPr>
            <a:ln w="412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Analysis!$B$131:$B$146</c:f>
              <c:multiLvlStrCache>
                <c:ptCount val="12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  <c:pt idx="11">
                    <c:v>&lt;02/09/2025</c:v>
                  </c:pt>
                </c:lvl>
                <c:lvl>
                  <c:pt idx="0">
                    <c:v>2025</c:v>
                  </c:pt>
                  <c:pt idx="4">
                    <c:v>2026</c:v>
                  </c:pt>
                  <c:pt idx="11">
                    <c:v>&lt;02/09/2025</c:v>
                  </c:pt>
                </c:lvl>
              </c:multiLvlStrCache>
            </c:multiLvlStrRef>
          </c:cat>
          <c:val>
            <c:numRef>
              <c:f>Analysis!$C$131:$C$146</c:f>
              <c:numCache>
                <c:formatCode>General</c:formatCode>
                <c:ptCount val="12"/>
                <c:pt idx="0">
                  <c:v>48</c:v>
                </c:pt>
                <c:pt idx="1">
                  <c:v>65</c:v>
                </c:pt>
                <c:pt idx="2">
                  <c:v>63</c:v>
                </c:pt>
                <c:pt idx="3">
                  <c:v>64</c:v>
                </c:pt>
                <c:pt idx="4">
                  <c:v>62</c:v>
                </c:pt>
                <c:pt idx="5">
                  <c:v>66</c:v>
                </c:pt>
                <c:pt idx="6">
                  <c:v>129</c:v>
                </c:pt>
                <c:pt idx="7">
                  <c:v>121</c:v>
                </c:pt>
                <c:pt idx="8">
                  <c:v>99</c:v>
                </c:pt>
                <c:pt idx="9">
                  <c:v>112</c:v>
                </c:pt>
                <c:pt idx="10">
                  <c:v>14</c:v>
                </c:pt>
                <c:pt idx="11">
                  <c:v>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AF-4089-B830-FF741251A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1226256"/>
        <c:axId val="1541222416"/>
      </c:lineChart>
      <c:catAx>
        <c:axId val="1541226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1222416"/>
        <c:crosses val="autoZero"/>
        <c:auto val="1"/>
        <c:lblAlgn val="ctr"/>
        <c:lblOffset val="100"/>
        <c:noMultiLvlLbl val="0"/>
      </c:catAx>
      <c:valAx>
        <c:axId val="154122241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541226256"/>
        <c:crosses val="autoZero"/>
        <c:crossBetween val="between"/>
      </c:valAx>
      <c:spPr>
        <a:solidFill>
          <a:srgbClr val="D9E7FD"/>
        </a:solidFill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D9E7FD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[customer-support-operations-dashboard.xlsm]Analysis!PivotTable1</c:name>
    <c:fmtId val="2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solidFill>
              <a:schemeClr val="accent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>
                      <a:lumMod val="9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solidFill>
              <a:schemeClr val="accent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>
                      <a:lumMod val="9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>
            <a:gsLst>
              <a:gs pos="5000">
                <a:srgbClr val="FF0000"/>
              </a:gs>
              <a:gs pos="100000">
                <a:srgbClr val="8A28A8">
                  <a:alpha val="50000"/>
                </a:srgbClr>
              </a:gs>
            </a:gsLst>
            <a:lin ang="5400000" scaled="0"/>
          </a:gradFill>
          <a:ln>
            <a:noFill/>
          </a:ln>
          <a:effectLst/>
          <a:sp3d/>
        </c:spPr>
      </c:pivotFmt>
      <c:pivotFmt>
        <c:idx val="4"/>
        <c:spPr>
          <a:gradFill>
            <a:gsLst>
              <a:gs pos="0">
                <a:schemeClr val="accent5"/>
              </a:gs>
              <a:gs pos="100000">
                <a:schemeClr val="accent1">
                  <a:lumMod val="30000"/>
                  <a:lumOff val="70000"/>
                  <a:alpha val="50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</c:pivotFmt>
      <c:pivotFmt>
        <c:idx val="5"/>
        <c:spPr>
          <a:gradFill>
            <a:gsLst>
              <a:gs pos="0">
                <a:srgbClr val="00B05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/>
          <a:sp3d/>
        </c:spPr>
      </c:pivotFmt>
      <c:pivotFmt>
        <c:idx val="6"/>
        <c:spPr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>
            <a:gsLst>
              <a:gs pos="5000">
                <a:srgbClr val="FF0000"/>
              </a:gs>
              <a:gs pos="100000">
                <a:srgbClr val="8A28A8">
                  <a:alpha val="50000"/>
                </a:srgbClr>
              </a:gs>
            </a:gsLst>
            <a:lin ang="5400000" scaled="0"/>
          </a:gradFill>
          <a:ln>
            <a:noFill/>
          </a:ln>
          <a:effectLst/>
          <a:sp3d/>
        </c:spPr>
      </c:pivotFmt>
      <c:pivotFmt>
        <c:idx val="8"/>
        <c:spPr>
          <a:gradFill>
            <a:gsLst>
              <a:gs pos="0">
                <a:schemeClr val="accent5"/>
              </a:gs>
              <a:gs pos="100000">
                <a:schemeClr val="accent1">
                  <a:lumMod val="30000"/>
                  <a:lumOff val="70000"/>
                  <a:alpha val="50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</c:pivotFmt>
      <c:pivotFmt>
        <c:idx val="9"/>
        <c:spPr>
          <a:gradFill>
            <a:gsLst>
              <a:gs pos="0">
                <a:srgbClr val="00B05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/>
          <a:sp3d/>
        </c:spPr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Analysis!$B$8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5000">
                    <a:srgbClr val="FF0000"/>
                  </a:gs>
                  <a:gs pos="100000">
                    <a:srgbClr val="8A28A8">
                      <a:alpha val="50000"/>
                    </a:srgb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983E-470B-9368-DA18CB1C1AEA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1">
                      <a:lumMod val="30000"/>
                      <a:lumOff val="70000"/>
                      <a:alpha val="50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83E-470B-9368-DA18CB1C1AEA}"/>
              </c:ext>
            </c:extLst>
          </c:dPt>
          <c:dPt>
            <c:idx val="2"/>
            <c:invertIfNegative val="0"/>
            <c:bubble3D val="0"/>
            <c:spPr>
              <a:gradFill>
                <a:gsLst>
                  <a:gs pos="0">
                    <a:srgbClr val="00B050"/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983E-470B-9368-DA18CB1C1AE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Analysis!$A$9:$A$12</c:f>
              <c:strCache>
                <c:ptCount val="3"/>
                <c:pt idx="0">
                  <c:v>CRITICAL</c:v>
                </c:pt>
                <c:pt idx="1">
                  <c:v>HIGH</c:v>
                </c:pt>
                <c:pt idx="2">
                  <c:v>LOW</c:v>
                </c:pt>
              </c:strCache>
            </c:strRef>
          </c:cat>
          <c:val>
            <c:numRef>
              <c:f>Analysis!$B$9:$B$12</c:f>
              <c:numCache>
                <c:formatCode>General</c:formatCode>
                <c:ptCount val="3"/>
                <c:pt idx="0">
                  <c:v>5</c:v>
                </c:pt>
                <c:pt idx="1">
                  <c:v>5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3E-470B-9368-DA18CB1C1AE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40990223"/>
        <c:axId val="40973903"/>
        <c:axId val="0"/>
      </c:bar3DChart>
      <c:catAx>
        <c:axId val="409902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73903"/>
        <c:crosses val="autoZero"/>
        <c:auto val="1"/>
        <c:lblAlgn val="ctr"/>
        <c:lblOffset val="100"/>
        <c:noMultiLvlLbl val="0"/>
      </c:catAx>
      <c:valAx>
        <c:axId val="409739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09902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[customer-support-operations-dashboard.xlsm]Analysis!PbyStatus</c:name>
    <c:fmtId val="13"/>
  </c:pivotSource>
  <c:chart>
    <c:autoTitleDeleted val="1"/>
    <c:pivotFmts>
      <c:pivotFmt>
        <c:idx val="0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0">
                <a:srgbClr val="00B05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5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>
            <a:gsLst>
              <a:gs pos="0">
                <a:srgbClr val="8A28A8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4"/>
        <c:spPr>
          <a:gradFill>
            <a:gsLst>
              <a:gs pos="0">
                <a:srgbClr val="FF000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5"/>
        <c:spPr>
          <a:gradFill>
            <a:gsLst>
              <a:gs pos="0">
                <a:srgbClr val="00B05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6"/>
        <c:spPr>
          <a:gradFill>
            <a:gsLst>
              <a:gs pos="0">
                <a:srgbClr val="00B05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7"/>
        <c:spPr>
          <a:gradFill>
            <a:gsLst>
              <a:gs pos="0">
                <a:srgbClr val="00B05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>
            <a:gsLst>
              <a:gs pos="0">
                <a:srgbClr val="00B05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9"/>
        <c:spPr>
          <a:gradFill>
            <a:gsLst>
              <a:gs pos="0">
                <a:srgbClr val="00B05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10"/>
        <c:spPr>
          <a:gradFill>
            <a:gsLst>
              <a:gs pos="0">
                <a:srgbClr val="00B05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11"/>
        <c:spPr>
          <a:gradFill>
            <a:gsLst>
              <a:gs pos="0">
                <a:srgbClr val="00B05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5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>
            <a:gsLst>
              <a:gs pos="0">
                <a:srgbClr val="00B05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13"/>
        <c:spPr>
          <a:gradFill>
            <a:gsLst>
              <a:gs pos="0">
                <a:srgbClr val="8A28A8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14"/>
        <c:spPr>
          <a:gradFill>
            <a:gsLst>
              <a:gs pos="0">
                <a:srgbClr val="00B05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15"/>
        <c:spPr>
          <a:gradFill>
            <a:gsLst>
              <a:gs pos="0">
                <a:srgbClr val="FF000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1.7793553383504697E-2"/>
          <c:y val="0.12074303705697262"/>
          <c:w val="0.98039007322751248"/>
          <c:h val="0.74257818712124546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Analysis!$B$24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rgbClr val="00B050"/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rgbClr val="00B050"/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B62-4468-BACA-2779121AE343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rgbClr val="8A28A8"/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DE7-4062-ABE9-6B7060B0AA49}"/>
              </c:ext>
            </c:extLst>
          </c:dPt>
          <c:dPt>
            <c:idx val="2"/>
            <c:invertIfNegative val="0"/>
            <c:bubble3D val="0"/>
            <c:spPr>
              <a:gradFill>
                <a:gsLst>
                  <a:gs pos="0">
                    <a:srgbClr val="00B050"/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FDE7-4062-ABE9-6B7060B0AA49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rgbClr val="FF0000"/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3772-4A15-8EEB-209E1C540B6F}"/>
              </c:ext>
            </c:extLst>
          </c:dPt>
          <c:dPt>
            <c:idx val="4"/>
            <c:invertIfNegative val="0"/>
            <c:bubble3D val="0"/>
            <c:spPr>
              <a:gradFill>
                <a:gsLst>
                  <a:gs pos="0">
                    <a:srgbClr val="00B050"/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3772-4A15-8EEB-209E1C540B6F}"/>
              </c:ext>
            </c:extLst>
          </c:dPt>
          <c:dPt>
            <c:idx val="5"/>
            <c:invertIfNegative val="0"/>
            <c:bubble3D val="0"/>
            <c:spPr>
              <a:gradFill>
                <a:gsLst>
                  <a:gs pos="0">
                    <a:srgbClr val="00B050"/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3772-4A15-8EEB-209E1C540B6F}"/>
              </c:ext>
            </c:extLst>
          </c:dPt>
          <c:dPt>
            <c:idx val="6"/>
            <c:invertIfNegative val="0"/>
            <c:bubble3D val="0"/>
            <c:spPr>
              <a:gradFill>
                <a:gsLst>
                  <a:gs pos="0">
                    <a:srgbClr val="00B050"/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3772-4A15-8EEB-209E1C540B6F}"/>
              </c:ext>
            </c:extLst>
          </c:dPt>
          <c:dPt>
            <c:idx val="7"/>
            <c:invertIfNegative val="0"/>
            <c:bubble3D val="0"/>
            <c:spPr>
              <a:gradFill>
                <a:gsLst>
                  <a:gs pos="0">
                    <a:srgbClr val="00B050"/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4FCA-4ED3-B567-5DBA5B4A663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5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Analysis!$A$25:$A$29</c:f>
              <c:strCache>
                <c:ptCount val="4"/>
                <c:pt idx="0">
                  <c:v>CLOSED</c:v>
                </c:pt>
                <c:pt idx="1">
                  <c:v>IN PROGRESS</c:v>
                </c:pt>
                <c:pt idx="2">
                  <c:v>DEFERRED</c:v>
                </c:pt>
                <c:pt idx="3">
                  <c:v>ESCALATED</c:v>
                </c:pt>
              </c:strCache>
            </c:strRef>
          </c:cat>
          <c:val>
            <c:numRef>
              <c:f>Analysis!$B$25:$B$29</c:f>
              <c:numCache>
                <c:formatCode>General</c:formatCode>
                <c:ptCount val="4"/>
                <c:pt idx="0">
                  <c:v>55</c:v>
                </c:pt>
                <c:pt idx="1">
                  <c:v>6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062-ABE9-6B7060B0AA49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375174864"/>
        <c:axId val="1375188304"/>
      </c:barChart>
      <c:catAx>
        <c:axId val="1375174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840000" spcFirstLastPara="1" vertOverflow="ellipsis" wrap="square" anchor="ctr" anchorCtr="0"/>
          <a:lstStyle/>
          <a:p>
            <a:pPr>
              <a:defRPr sz="16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188304"/>
        <c:crosses val="autoZero"/>
        <c:auto val="1"/>
        <c:lblAlgn val="ctr"/>
        <c:lblOffset val="100"/>
        <c:noMultiLvlLbl val="0"/>
      </c:catAx>
      <c:valAx>
        <c:axId val="137518830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375174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[customer-support-operations-dashboard.xlsm]Analysis!PResolvedAssignedTickets</c:name>
    <c:fmtId val="23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5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92D050"/>
          </a:solidFill>
          <a:ln w="19050">
            <a:noFill/>
          </a:ln>
          <a:effectLst/>
        </c:spPr>
      </c:pivotFmt>
      <c:pivotFmt>
        <c:idx val="11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12"/>
        <c:spPr>
          <a:solidFill>
            <a:srgbClr val="FFFF00"/>
          </a:solidFill>
          <a:ln w="19050">
            <a:noFill/>
          </a:ln>
          <a:effectLst/>
        </c:spPr>
      </c:pivotFmt>
      <c:pivotFmt>
        <c:idx val="13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14"/>
        <c:spPr>
          <a:solidFill>
            <a:schemeClr val="accent1"/>
          </a:solidFill>
          <a:ln w="19050">
            <a:noFill/>
          </a:ln>
          <a:effectLst/>
        </c:spPr>
        <c:dLbl>
          <c:idx val="0"/>
          <c:layout>
            <c:manualLayout>
              <c:x val="-2.8197381671701913E-2"/>
              <c:y val="7.984031936127732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16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>
                      <a:lumMod val="9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>
                      <a:lumMod val="9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>
                      <a:lumMod val="9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23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bg1"/>
          </a:solidFill>
          <a:ln w="19050">
            <a:noFill/>
          </a:ln>
          <a:effectLst/>
        </c:spPr>
      </c:pivotFmt>
      <c:pivotFmt>
        <c:idx val="31"/>
        <c:spPr>
          <a:solidFill>
            <a:srgbClr val="8A28A8"/>
          </a:solidFill>
          <a:ln w="19050">
            <a:noFill/>
          </a:ln>
          <a:effectLst/>
        </c:spPr>
      </c:pivotFmt>
      <c:pivotFmt>
        <c:idx val="32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33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5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35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36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37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38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39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40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41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42"/>
        <c:spPr>
          <a:solidFill>
            <a:schemeClr val="accent1"/>
          </a:solidFill>
          <a:ln w="19050"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7.8357954500400437E-2"/>
          <c:y val="0"/>
          <c:w val="0.65621872794601577"/>
          <c:h val="1"/>
        </c:manualLayout>
      </c:layout>
      <c:doughnutChart>
        <c:varyColors val="1"/>
        <c:ser>
          <c:idx val="0"/>
          <c:order val="0"/>
          <c:tx>
            <c:strRef>
              <c:f>Analysis!$B$60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359-444C-B0F8-9D1093012B4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359-444C-B0F8-9D1093012B4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359-444C-B0F8-9D1093012B4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359-444C-B0F8-9D1093012B4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359-444C-B0F8-9D1093012B4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25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Analysis!$A$61:$A$65</c:f>
              <c:strCache>
                <c:ptCount val="5"/>
                <c:pt idx="0">
                  <c:v>Maverick</c:v>
                </c:pt>
                <c:pt idx="1">
                  <c:v>Team Lead 1</c:v>
                </c:pt>
                <c:pt idx="2">
                  <c:v>Team Lead 3</c:v>
                </c:pt>
                <c:pt idx="3">
                  <c:v>Agent E</c:v>
                </c:pt>
                <c:pt idx="4">
                  <c:v>Agent D</c:v>
                </c:pt>
              </c:strCache>
            </c:strRef>
          </c:cat>
          <c:val>
            <c:numRef>
              <c:f>Analysis!$B$61:$B$65</c:f>
              <c:numCache>
                <c:formatCode>General</c:formatCode>
                <c:ptCount val="5"/>
                <c:pt idx="0">
                  <c:v>243</c:v>
                </c:pt>
                <c:pt idx="1">
                  <c:v>122</c:v>
                </c:pt>
                <c:pt idx="2">
                  <c:v>71</c:v>
                </c:pt>
                <c:pt idx="3">
                  <c:v>41</c:v>
                </c:pt>
                <c:pt idx="4">
                  <c:v>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776-489B-B2D9-A837B70FDB4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solidFill>
            <a:schemeClr val="bg1">
              <a:lumMod val="95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[customer-support-operations-dashboard.xlsm]Analysis!PAccountType</c:name>
    <c:fmtId val="23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5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A118B8"/>
          </a:solidFill>
          <a:ln w="19050">
            <a:noFill/>
          </a:ln>
          <a:effectLst/>
        </c:spPr>
      </c:pivotFmt>
      <c:pivotFmt>
        <c:idx val="6"/>
        <c:spPr>
          <a:solidFill>
            <a:schemeClr val="accent1">
              <a:lumMod val="60000"/>
              <a:lumOff val="40000"/>
            </a:schemeClr>
          </a:solidFill>
          <a:ln w="19050">
            <a:noFill/>
          </a:ln>
          <a:effectLst/>
        </c:spPr>
      </c:pivotFmt>
      <c:pivotFmt>
        <c:idx val="7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8"/>
        <c:spPr>
          <a:solidFill>
            <a:srgbClr val="A118B8"/>
          </a:solidFill>
          <a:ln w="19050">
            <a:noFill/>
          </a:ln>
          <a:effectLst/>
        </c:spPr>
      </c:pivotFmt>
      <c:pivotFmt>
        <c:idx val="9"/>
        <c:spPr>
          <a:solidFill>
            <a:schemeClr val="accent6">
              <a:lumMod val="20000"/>
              <a:lumOff val="80000"/>
            </a:schemeClr>
          </a:solidFill>
          <a:ln w="19050">
            <a:noFill/>
          </a:ln>
          <a:effectLst/>
        </c:spPr>
      </c:pivotFmt>
      <c:pivotFmt>
        <c:idx val="10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5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>
              <a:lumMod val="20000"/>
              <a:lumOff val="80000"/>
            </a:schemeClr>
          </a:solidFill>
          <a:ln w="19050">
            <a:noFill/>
          </a:ln>
          <a:effectLst/>
        </c:spPr>
      </c:pivotFmt>
      <c:pivotFmt>
        <c:idx val="12"/>
        <c:spPr>
          <a:solidFill>
            <a:srgbClr val="A118B8"/>
          </a:solidFill>
          <a:ln w="19050">
            <a:noFill/>
          </a:ln>
          <a:effectLst/>
        </c:spPr>
      </c:pivotFmt>
      <c:pivotFmt>
        <c:idx val="13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14"/>
        <c:spPr>
          <a:solidFill>
            <a:schemeClr val="accent1"/>
          </a:solidFill>
          <a:ln w="19050">
            <a:noFill/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Analysis!$B$75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F0E-4378-B72A-6DB1608FF78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F0E-4378-B72A-6DB1608FF78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5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Analysis!$A$76:$A$77</c:f>
              <c:strCache>
                <c:ptCount val="2"/>
                <c:pt idx="0">
                  <c:v>Company X</c:v>
                </c:pt>
                <c:pt idx="1">
                  <c:v>Company Y</c:v>
                </c:pt>
              </c:strCache>
            </c:strRef>
          </c:cat>
          <c:val>
            <c:numRef>
              <c:f>Analysis!$B$76:$B$77</c:f>
              <c:numCache>
                <c:formatCode>General</c:formatCode>
                <c:ptCount val="2"/>
                <c:pt idx="0">
                  <c:v>864</c:v>
                </c:pt>
                <c:pt idx="1">
                  <c:v>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ED9-4D3B-BC81-A3FD95CE91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[customer-support-operations-dashboard.xlsm]Analysis!PTicketsCreatedTime</c:name>
    <c:fmtId val="19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5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5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Analysis!$C$89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5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Analysis!$A$90:$B$104</c:f>
              <c:multiLvlStrCache>
                <c:ptCount val="15"/>
                <c:lvl>
                  <c:pt idx="0">
                    <c:v>May</c:v>
                  </c:pt>
                  <c:pt idx="1">
                    <c:v>Jun</c:v>
                  </c:pt>
                  <c:pt idx="2">
                    <c:v>Jul</c:v>
                  </c:pt>
                  <c:pt idx="3">
                    <c:v>Aug</c:v>
                  </c:pt>
                  <c:pt idx="4">
                    <c:v>Sep</c:v>
                  </c:pt>
                  <c:pt idx="5">
                    <c:v>Oct</c:v>
                  </c:pt>
                  <c:pt idx="6">
                    <c:v>Nov</c:v>
                  </c:pt>
                  <c:pt idx="7">
                    <c:v>Dec</c:v>
                  </c:pt>
                  <c:pt idx="8">
                    <c:v>Jan</c:v>
                  </c:pt>
                  <c:pt idx="9">
                    <c:v>Feb</c:v>
                  </c:pt>
                  <c:pt idx="10">
                    <c:v>Mar</c:v>
                  </c:pt>
                  <c:pt idx="11">
                    <c:v>Apr</c:v>
                  </c:pt>
                  <c:pt idx="12">
                    <c:v>May</c:v>
                  </c:pt>
                  <c:pt idx="13">
                    <c:v>Jun</c:v>
                  </c:pt>
                  <c:pt idx="14">
                    <c:v>Jul</c:v>
                  </c:pt>
                </c:lvl>
                <c:lvl>
                  <c:pt idx="0">
                    <c:v>2025</c:v>
                  </c:pt>
                  <c:pt idx="8">
                    <c:v>2026</c:v>
                  </c:pt>
                </c:lvl>
              </c:multiLvlStrCache>
            </c:multiLvlStrRef>
          </c:cat>
          <c:val>
            <c:numRef>
              <c:f>Analysis!$C$90:$C$104</c:f>
              <c:numCache>
                <c:formatCode>General</c:formatCode>
                <c:ptCount val="15"/>
                <c:pt idx="0">
                  <c:v>1</c:v>
                </c:pt>
                <c:pt idx="1">
                  <c:v>6</c:v>
                </c:pt>
                <c:pt idx="2">
                  <c:v>8</c:v>
                </c:pt>
                <c:pt idx="3">
                  <c:v>43</c:v>
                </c:pt>
                <c:pt idx="4">
                  <c:v>76</c:v>
                </c:pt>
                <c:pt idx="5">
                  <c:v>76</c:v>
                </c:pt>
                <c:pt idx="6">
                  <c:v>55</c:v>
                </c:pt>
                <c:pt idx="7">
                  <c:v>73</c:v>
                </c:pt>
                <c:pt idx="8">
                  <c:v>116</c:v>
                </c:pt>
                <c:pt idx="9">
                  <c:v>98</c:v>
                </c:pt>
                <c:pt idx="10">
                  <c:v>90</c:v>
                </c:pt>
                <c:pt idx="11">
                  <c:v>103</c:v>
                </c:pt>
                <c:pt idx="12">
                  <c:v>110</c:v>
                </c:pt>
                <c:pt idx="13">
                  <c:v>101</c:v>
                </c:pt>
                <c:pt idx="14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01-4EF4-A5E8-A2AAFA4BD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3249168"/>
        <c:axId val="793251568"/>
      </c:lineChart>
      <c:catAx>
        <c:axId val="793249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251568"/>
        <c:crosses val="autoZero"/>
        <c:auto val="1"/>
        <c:lblAlgn val="ctr"/>
        <c:lblOffset val="100"/>
        <c:noMultiLvlLbl val="0"/>
      </c:catAx>
      <c:valAx>
        <c:axId val="7932515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93249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[customer-support-operations-dashboard.xlsm]Analysis!PbyCategory</c:name>
    <c:fmtId val="18"/>
  </c:pivotSource>
  <c:chart>
    <c:autoTitleDeleted val="1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0">
                <a:srgbClr val="00B05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>
            <a:gsLst>
              <a:gs pos="0">
                <a:srgbClr val="00B05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</c:pivotFmt>
      <c:pivotFmt>
        <c:idx val="4"/>
        <c:spPr>
          <a:gradFill>
            <a:gsLst>
              <a:gs pos="0">
                <a:srgbClr val="FF000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</c:pivotFmt>
      <c:pivotFmt>
        <c:idx val="5"/>
        <c:spPr>
          <a:gradFill>
            <a:gsLst>
              <a:gs pos="0">
                <a:schemeClr val="accent1">
                  <a:lumMod val="7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</c:pivotFmt>
      <c:pivotFmt>
        <c:idx val="6"/>
        <c:spPr>
          <a:gradFill>
            <a:gsLst>
              <a:gs pos="0">
                <a:srgbClr val="7030A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</c:pivotFmt>
      <c:pivotFmt>
        <c:idx val="7"/>
        <c:spPr>
          <a:gradFill>
            <a:gsLst>
              <a:gs pos="0">
                <a:schemeClr val="accent5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</c:pivotFmt>
      <c:pivotFmt>
        <c:idx val="8"/>
        <c:spPr>
          <a:gradFill>
            <a:gsLst>
              <a:gs pos="0">
                <a:srgbClr val="00B05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dLbl>
          <c:idx val="0"/>
          <c:spPr>
            <a:noFill/>
            <a:ln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>
            <a:gsLst>
              <a:gs pos="0">
                <a:srgbClr val="00B05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</c:pivotFmt>
      <c:pivotFmt>
        <c:idx val="10"/>
        <c:spPr>
          <a:gradFill>
            <a:gsLst>
              <a:gs pos="0">
                <a:srgbClr val="00B05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>
            <a:gsLst>
              <a:gs pos="0">
                <a:srgbClr val="00B05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dLbl>
          <c:idx val="0"/>
          <c:spPr>
            <a:noFill/>
            <a:ln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>
            <a:gsLst>
              <a:gs pos="0">
                <a:schemeClr val="accent5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</c:pivotFmt>
      <c:pivotFmt>
        <c:idx val="13"/>
        <c:spPr>
          <a:gradFill>
            <a:gsLst>
              <a:gs pos="0">
                <a:srgbClr val="7030A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</c:pivotFmt>
      <c:pivotFmt>
        <c:idx val="14"/>
        <c:spPr>
          <a:gradFill>
            <a:gsLst>
              <a:gs pos="0">
                <a:srgbClr val="FF000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</c:pivotFmt>
      <c:pivotFmt>
        <c:idx val="15"/>
        <c:spPr>
          <a:gradFill>
            <a:gsLst>
              <a:gs pos="0">
                <a:schemeClr val="accent1">
                  <a:lumMod val="7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Analysis!$B$40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rgbClr val="00B050"/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rgbClr val="00B050"/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67DD-403F-A59B-BF225EF83D08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C2BA-42AF-B235-F387CFCE5B29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B479-4D17-A7E2-22D8D69B5340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rgbClr val="7030A0"/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C2BA-42AF-B235-F387CFCE5B29}"/>
              </c:ext>
            </c:extLst>
          </c:dPt>
          <c:dPt>
            <c:idx val="4"/>
            <c:invertIfNegative val="0"/>
            <c:bubble3D val="0"/>
            <c:spPr>
              <a:gradFill>
                <a:gsLst>
                  <a:gs pos="0">
                    <a:srgbClr val="FF0000"/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BA-42AF-B235-F387CFCE5B29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C2BA-42AF-B235-F387CFCE5B29}"/>
              </c:ext>
            </c:extLst>
          </c:dPt>
          <c:dPt>
            <c:idx val="6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A070-4532-862C-3467D7BF709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B030-4FC1-9262-869B1DAE5172}"/>
              </c:ext>
            </c:extLst>
          </c:dPt>
          <c:dLbls>
            <c:dLbl>
              <c:idx val="0"/>
              <c:spPr>
                <a:noFill/>
                <a:ln>
                  <a:gradFill>
                    <a:gsLst>
                      <a:gs pos="0">
                        <a:schemeClr val="accent1">
                          <a:lumMod val="5000"/>
                          <a:lumOff val="95000"/>
                        </a:schemeClr>
                      </a:gs>
                      <a:gs pos="74000">
                        <a:schemeClr val="accent1">
                          <a:lumMod val="45000"/>
                          <a:lumOff val="55000"/>
                        </a:schemeClr>
                      </a:gs>
                      <a:gs pos="83000">
                        <a:schemeClr val="accent1">
                          <a:lumMod val="45000"/>
                          <a:lumOff val="55000"/>
                        </a:schemeClr>
                      </a:gs>
                      <a:gs pos="100000">
                        <a:schemeClr val="accent1">
                          <a:lumMod val="30000"/>
                          <a:lumOff val="70000"/>
                        </a:schemeClr>
                      </a:gs>
                    </a:gsLst>
                    <a:lin ang="5400000" scaled="1"/>
                  </a:gra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7DD-403F-A59B-BF225EF83D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Analysis!$A$41:$A$49</c:f>
              <c:strCache>
                <c:ptCount val="8"/>
                <c:pt idx="0">
                  <c:v>International Users</c:v>
                </c:pt>
                <c:pt idx="1">
                  <c:v>Technical / Platform Issues</c:v>
                </c:pt>
                <c:pt idx="2">
                  <c:v>Documents &amp; Compliance</c:v>
                </c:pt>
                <c:pt idx="3">
                  <c:v>Subscriptions &amp; Billing</c:v>
                </c:pt>
                <c:pt idx="4">
                  <c:v>Account Closure &amp; Deletion</c:v>
                </c:pt>
                <c:pt idx="5">
                  <c:v>Account &amp; Access</c:v>
                </c:pt>
                <c:pt idx="6">
                  <c:v>Investments &amp; Strategies</c:v>
                </c:pt>
                <c:pt idx="7">
                  <c:v>Bank &amp; Deposit Related</c:v>
                </c:pt>
              </c:strCache>
            </c:strRef>
          </c:cat>
          <c:val>
            <c:numRef>
              <c:f>Analysis!$B$41:$B$49</c:f>
              <c:numCache>
                <c:formatCode>General</c:formatCode>
                <c:ptCount val="8"/>
                <c:pt idx="0">
                  <c:v>34</c:v>
                </c:pt>
                <c:pt idx="1">
                  <c:v>58</c:v>
                </c:pt>
                <c:pt idx="2">
                  <c:v>67</c:v>
                </c:pt>
                <c:pt idx="3">
                  <c:v>87</c:v>
                </c:pt>
                <c:pt idx="4">
                  <c:v>124</c:v>
                </c:pt>
                <c:pt idx="5">
                  <c:v>142</c:v>
                </c:pt>
                <c:pt idx="6">
                  <c:v>173</c:v>
                </c:pt>
                <c:pt idx="7">
                  <c:v>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BA-42AF-B235-F387CFCE5B29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17"/>
        <c:axId val="1375183024"/>
        <c:axId val="1375185424"/>
      </c:barChart>
      <c:catAx>
        <c:axId val="13751830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1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185424"/>
        <c:crosses val="autoZero"/>
        <c:auto val="1"/>
        <c:lblAlgn val="ctr"/>
        <c:lblOffset val="100"/>
        <c:noMultiLvlLbl val="0"/>
      </c:catAx>
      <c:valAx>
        <c:axId val="137518542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75183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[customer-support-operations-dashboard.xlsm]Analysis!ResolvedVsUnresolvedPivot</c:name>
    <c:fmtId val="2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5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>
            <a:gsLst>
              <a:gs pos="0">
                <a:schemeClr val="accent4">
                  <a:lumMod val="40000"/>
                  <a:lumOff val="60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/>
        </c:spPr>
      </c:pivotFmt>
      <c:pivotFmt>
        <c:idx val="4"/>
        <c:spPr>
          <a:gradFill>
            <a:gsLst>
              <a:gs pos="0">
                <a:srgbClr val="C00000"/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5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4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Analysis!$B$105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9C8-49ED-A6EB-427161E7AC75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9C8-49ED-A6EB-427161E7AC7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5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Analysis!$A$106:$A$107</c:f>
              <c:strCache>
                <c:ptCount val="2"/>
                <c:pt idx="0">
                  <c:v>Done</c:v>
                </c:pt>
                <c:pt idx="1">
                  <c:v>Pending</c:v>
                </c:pt>
              </c:strCache>
            </c:strRef>
          </c:cat>
          <c:val>
            <c:numRef>
              <c:f>Analysis!$B$106:$B$107</c:f>
              <c:numCache>
                <c:formatCode>General</c:formatCode>
                <c:ptCount val="2"/>
                <c:pt idx="0">
                  <c:v>959</c:v>
                </c:pt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67C-490F-8D03-36D60CEC0D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1"/>
        <c:overlap val="12"/>
        <c:axId val="472890768"/>
        <c:axId val="1087412080"/>
      </c:barChart>
      <c:catAx>
        <c:axId val="472890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7412080"/>
        <c:crosses val="autoZero"/>
        <c:auto val="1"/>
        <c:lblAlgn val="ctr"/>
        <c:lblOffset val="100"/>
        <c:noMultiLvlLbl val="0"/>
      </c:catAx>
      <c:valAx>
        <c:axId val="10874120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7289076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[customer-support-operations-dashboard.xlsm]Analysis!DateResolvedPivot</c:name>
    <c:fmtId val="9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412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3922267105389733E-2"/>
          <c:y val="3.1746568514709986E-2"/>
          <c:w val="0.95607773203895219"/>
          <c:h val="0.75368895801817204"/>
        </c:manualLayout>
      </c:layout>
      <c:lineChart>
        <c:grouping val="standard"/>
        <c:varyColors val="0"/>
        <c:ser>
          <c:idx val="0"/>
          <c:order val="0"/>
          <c:tx>
            <c:strRef>
              <c:f>Analysis!$C$130</c:f>
              <c:strCache>
                <c:ptCount val="1"/>
                <c:pt idx="0">
                  <c:v>Total</c:v>
                </c:pt>
              </c:strCache>
            </c:strRef>
          </c:tx>
          <c:spPr>
            <a:ln w="412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Analysis!$B$131:$B$146</c:f>
              <c:multiLvlStrCache>
                <c:ptCount val="12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  <c:pt idx="11">
                    <c:v>&lt;02/09/2025</c:v>
                  </c:pt>
                </c:lvl>
                <c:lvl>
                  <c:pt idx="0">
                    <c:v>2025</c:v>
                  </c:pt>
                  <c:pt idx="4">
                    <c:v>2026</c:v>
                  </c:pt>
                  <c:pt idx="11">
                    <c:v>&lt;02/09/2025</c:v>
                  </c:pt>
                </c:lvl>
              </c:multiLvlStrCache>
            </c:multiLvlStrRef>
          </c:cat>
          <c:val>
            <c:numRef>
              <c:f>Analysis!$C$131:$C$146</c:f>
              <c:numCache>
                <c:formatCode>General</c:formatCode>
                <c:ptCount val="12"/>
                <c:pt idx="0">
                  <c:v>48</c:v>
                </c:pt>
                <c:pt idx="1">
                  <c:v>65</c:v>
                </c:pt>
                <c:pt idx="2">
                  <c:v>63</c:v>
                </c:pt>
                <c:pt idx="3">
                  <c:v>64</c:v>
                </c:pt>
                <c:pt idx="4">
                  <c:v>62</c:v>
                </c:pt>
                <c:pt idx="5">
                  <c:v>66</c:v>
                </c:pt>
                <c:pt idx="6">
                  <c:v>129</c:v>
                </c:pt>
                <c:pt idx="7">
                  <c:v>121</c:v>
                </c:pt>
                <c:pt idx="8">
                  <c:v>99</c:v>
                </c:pt>
                <c:pt idx="9">
                  <c:v>112</c:v>
                </c:pt>
                <c:pt idx="10">
                  <c:v>14</c:v>
                </c:pt>
                <c:pt idx="11">
                  <c:v>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AF-4089-B830-FF741251A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1226256"/>
        <c:axId val="1541222416"/>
      </c:lineChart>
      <c:catAx>
        <c:axId val="1541226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1222416"/>
        <c:crosses val="autoZero"/>
        <c:auto val="1"/>
        <c:lblAlgn val="ctr"/>
        <c:lblOffset val="100"/>
        <c:noMultiLvlLbl val="0"/>
      </c:catAx>
      <c:valAx>
        <c:axId val="154122241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541226256"/>
        <c:crosses val="autoZero"/>
        <c:crossBetween val="between"/>
      </c:valAx>
      <c:spPr>
        <a:solidFill>
          <a:srgbClr val="D9E7FD"/>
        </a:solidFill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D9E7FD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[customer-support-operations-dashboard.xlsm]Analysis!PbyStatus</c:name>
    <c:fmtId val="5"/>
  </c:pivotSource>
  <c:chart>
    <c:autoTitleDeleted val="1"/>
    <c:pivotFmts>
      <c:pivotFmt>
        <c:idx val="0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Analysis!$B$24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Analysis!$A$25:$A$29</c:f>
              <c:strCache>
                <c:ptCount val="4"/>
                <c:pt idx="0">
                  <c:v>CLOSED</c:v>
                </c:pt>
                <c:pt idx="1">
                  <c:v>IN PROGRESS</c:v>
                </c:pt>
                <c:pt idx="2">
                  <c:v>DEFERRED</c:v>
                </c:pt>
                <c:pt idx="3">
                  <c:v>ESCALATED</c:v>
                </c:pt>
              </c:strCache>
            </c:strRef>
          </c:cat>
          <c:val>
            <c:numRef>
              <c:f>Analysis!$B$25:$B$29</c:f>
              <c:numCache>
                <c:formatCode>General</c:formatCode>
                <c:ptCount val="4"/>
                <c:pt idx="0">
                  <c:v>55</c:v>
                </c:pt>
                <c:pt idx="1">
                  <c:v>6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46-4061-888D-6E2BFA76F94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375174864"/>
        <c:axId val="1375188304"/>
      </c:barChart>
      <c:catAx>
        <c:axId val="1375174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188304"/>
        <c:crosses val="autoZero"/>
        <c:auto val="1"/>
        <c:lblAlgn val="ctr"/>
        <c:lblOffset val="100"/>
        <c:noMultiLvlLbl val="0"/>
      </c:catAx>
      <c:valAx>
        <c:axId val="137518830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375174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[customer-support-operations-dashboard.xlsm]Analysis!PbyCategory</c:name>
    <c:fmtId val="12"/>
  </c:pivotSource>
  <c:chart>
    <c:autoTitleDeleted val="1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Analysis!$B$40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Analysis!$A$41:$A$49</c:f>
              <c:strCache>
                <c:ptCount val="8"/>
                <c:pt idx="0">
                  <c:v>International Users</c:v>
                </c:pt>
                <c:pt idx="1">
                  <c:v>Technical / Platform Issues</c:v>
                </c:pt>
                <c:pt idx="2">
                  <c:v>Documents &amp; Compliance</c:v>
                </c:pt>
                <c:pt idx="3">
                  <c:v>Subscriptions &amp; Billing</c:v>
                </c:pt>
                <c:pt idx="4">
                  <c:v>Account Closure &amp; Deletion</c:v>
                </c:pt>
                <c:pt idx="5">
                  <c:v>Account &amp; Access</c:v>
                </c:pt>
                <c:pt idx="6">
                  <c:v>Investments &amp; Strategies</c:v>
                </c:pt>
                <c:pt idx="7">
                  <c:v>Bank &amp; Deposit Related</c:v>
                </c:pt>
              </c:strCache>
            </c:strRef>
          </c:cat>
          <c:val>
            <c:numRef>
              <c:f>Analysis!$B$41:$B$49</c:f>
              <c:numCache>
                <c:formatCode>General</c:formatCode>
                <c:ptCount val="8"/>
                <c:pt idx="0">
                  <c:v>34</c:v>
                </c:pt>
                <c:pt idx="1">
                  <c:v>58</c:v>
                </c:pt>
                <c:pt idx="2">
                  <c:v>67</c:v>
                </c:pt>
                <c:pt idx="3">
                  <c:v>87</c:v>
                </c:pt>
                <c:pt idx="4">
                  <c:v>124</c:v>
                </c:pt>
                <c:pt idx="5">
                  <c:v>142</c:v>
                </c:pt>
                <c:pt idx="6">
                  <c:v>173</c:v>
                </c:pt>
                <c:pt idx="7">
                  <c:v>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A9-4960-9F30-A2B598F7837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375183024"/>
        <c:axId val="1375185424"/>
      </c:barChart>
      <c:catAx>
        <c:axId val="13751830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185424"/>
        <c:crosses val="autoZero"/>
        <c:auto val="1"/>
        <c:lblAlgn val="ctr"/>
        <c:lblOffset val="100"/>
        <c:noMultiLvlLbl val="0"/>
      </c:catAx>
      <c:valAx>
        <c:axId val="137518542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75183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[customer-support-operations-dashboard.xlsm]Analysis!PResolvedAssignedTickets</c:name>
    <c:fmtId val="17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Analysis!$B$60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FD7-42EC-8BED-D59B57F1B30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FD7-42EC-8BED-D59B57F1B30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FD7-42EC-8BED-D59B57F1B30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FD7-42EC-8BED-D59B57F1B30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FD7-42EC-8BED-D59B57F1B30C}"/>
              </c:ext>
            </c:extLst>
          </c:dPt>
          <c:cat>
            <c:strRef>
              <c:f>Analysis!$A$61:$A$65</c:f>
              <c:strCache>
                <c:ptCount val="5"/>
                <c:pt idx="0">
                  <c:v>Maverick</c:v>
                </c:pt>
                <c:pt idx="1">
                  <c:v>Team Lead 1</c:v>
                </c:pt>
                <c:pt idx="2">
                  <c:v>Team Lead 3</c:v>
                </c:pt>
                <c:pt idx="3">
                  <c:v>Agent E</c:v>
                </c:pt>
                <c:pt idx="4">
                  <c:v>Agent D</c:v>
                </c:pt>
              </c:strCache>
            </c:strRef>
          </c:cat>
          <c:val>
            <c:numRef>
              <c:f>Analysis!$B$61:$B$65</c:f>
              <c:numCache>
                <c:formatCode>General</c:formatCode>
                <c:ptCount val="5"/>
                <c:pt idx="0">
                  <c:v>243</c:v>
                </c:pt>
                <c:pt idx="1">
                  <c:v>122</c:v>
                </c:pt>
                <c:pt idx="2">
                  <c:v>71</c:v>
                </c:pt>
                <c:pt idx="3">
                  <c:v>41</c:v>
                </c:pt>
                <c:pt idx="4">
                  <c:v>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5C3F-4624-9EAA-0B701BCAEA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[customer-support-operations-dashboard.xlsm]Analysis!PAccountType</c:name>
    <c:fmtId val="14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Analysis!$B$75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165-41A7-98FF-400169460A8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165-41A7-98FF-400169460A8F}"/>
              </c:ext>
            </c:extLst>
          </c:dPt>
          <c:cat>
            <c:strRef>
              <c:f>Analysis!$A$76:$A$77</c:f>
              <c:strCache>
                <c:ptCount val="2"/>
                <c:pt idx="0">
                  <c:v>Company X</c:v>
                </c:pt>
                <c:pt idx="1">
                  <c:v>Company Y</c:v>
                </c:pt>
              </c:strCache>
            </c:strRef>
          </c:cat>
          <c:val>
            <c:numRef>
              <c:f>Analysis!$B$76:$B$77</c:f>
              <c:numCache>
                <c:formatCode>General</c:formatCode>
                <c:ptCount val="2"/>
                <c:pt idx="0">
                  <c:v>864</c:v>
                </c:pt>
                <c:pt idx="1">
                  <c:v>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2CA-4804-91C1-A3455EBD3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[customer-support-operations-dashboard.xlsm]Analysis!PTicketsCreatedTime</c:name>
    <c:fmtId val="15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Analysis!$C$89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Analysis!$A$90:$B$104</c:f>
              <c:multiLvlStrCache>
                <c:ptCount val="15"/>
                <c:lvl>
                  <c:pt idx="0">
                    <c:v>May</c:v>
                  </c:pt>
                  <c:pt idx="1">
                    <c:v>Jun</c:v>
                  </c:pt>
                  <c:pt idx="2">
                    <c:v>Jul</c:v>
                  </c:pt>
                  <c:pt idx="3">
                    <c:v>Aug</c:v>
                  </c:pt>
                  <c:pt idx="4">
                    <c:v>Sep</c:v>
                  </c:pt>
                  <c:pt idx="5">
                    <c:v>Oct</c:v>
                  </c:pt>
                  <c:pt idx="6">
                    <c:v>Nov</c:v>
                  </c:pt>
                  <c:pt idx="7">
                    <c:v>Dec</c:v>
                  </c:pt>
                  <c:pt idx="8">
                    <c:v>Jan</c:v>
                  </c:pt>
                  <c:pt idx="9">
                    <c:v>Feb</c:v>
                  </c:pt>
                  <c:pt idx="10">
                    <c:v>Mar</c:v>
                  </c:pt>
                  <c:pt idx="11">
                    <c:v>Apr</c:v>
                  </c:pt>
                  <c:pt idx="12">
                    <c:v>May</c:v>
                  </c:pt>
                  <c:pt idx="13">
                    <c:v>Jun</c:v>
                  </c:pt>
                  <c:pt idx="14">
                    <c:v>Jul</c:v>
                  </c:pt>
                </c:lvl>
                <c:lvl>
                  <c:pt idx="0">
                    <c:v>2025</c:v>
                  </c:pt>
                  <c:pt idx="8">
                    <c:v>2026</c:v>
                  </c:pt>
                </c:lvl>
              </c:multiLvlStrCache>
            </c:multiLvlStrRef>
          </c:cat>
          <c:val>
            <c:numRef>
              <c:f>Analysis!$C$90:$C$104</c:f>
              <c:numCache>
                <c:formatCode>General</c:formatCode>
                <c:ptCount val="15"/>
                <c:pt idx="0">
                  <c:v>1</c:v>
                </c:pt>
                <c:pt idx="1">
                  <c:v>6</c:v>
                </c:pt>
                <c:pt idx="2">
                  <c:v>8</c:v>
                </c:pt>
                <c:pt idx="3">
                  <c:v>43</c:v>
                </c:pt>
                <c:pt idx="4">
                  <c:v>76</c:v>
                </c:pt>
                <c:pt idx="5">
                  <c:v>76</c:v>
                </c:pt>
                <c:pt idx="6">
                  <c:v>55</c:v>
                </c:pt>
                <c:pt idx="7">
                  <c:v>73</c:v>
                </c:pt>
                <c:pt idx="8">
                  <c:v>116</c:v>
                </c:pt>
                <c:pt idx="9">
                  <c:v>98</c:v>
                </c:pt>
                <c:pt idx="10">
                  <c:v>90</c:v>
                </c:pt>
                <c:pt idx="11">
                  <c:v>103</c:v>
                </c:pt>
                <c:pt idx="12">
                  <c:v>110</c:v>
                </c:pt>
                <c:pt idx="13">
                  <c:v>101</c:v>
                </c:pt>
                <c:pt idx="14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21-4844-B0BD-B43D8A54F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3249168"/>
        <c:axId val="793251568"/>
      </c:lineChart>
      <c:catAx>
        <c:axId val="793249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251568"/>
        <c:crosses val="autoZero"/>
        <c:auto val="1"/>
        <c:lblAlgn val="ctr"/>
        <c:lblOffset val="100"/>
        <c:noMultiLvlLbl val="0"/>
      </c:catAx>
      <c:valAx>
        <c:axId val="7932515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93249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[customer-support-operations-dashboard.xlsm]Analysis!PivotTable1</c:name>
    <c:fmtId val="19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solidFill>
              <a:schemeClr val="accent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>
                      <a:lumMod val="9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Analysis!$B$8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solidFill>
                <a:schemeClr val="accent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bg1">
                        <a:lumMod val="9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Analysis!$A$9:$A$12</c:f>
              <c:strCache>
                <c:ptCount val="3"/>
                <c:pt idx="0">
                  <c:v>CRITICAL</c:v>
                </c:pt>
                <c:pt idx="1">
                  <c:v>HIGH</c:v>
                </c:pt>
                <c:pt idx="2">
                  <c:v>LOW</c:v>
                </c:pt>
              </c:strCache>
            </c:strRef>
          </c:cat>
          <c:val>
            <c:numRef>
              <c:f>Analysis!$B$9:$B$12</c:f>
              <c:numCache>
                <c:formatCode>General</c:formatCode>
                <c:ptCount val="3"/>
                <c:pt idx="0">
                  <c:v>5</c:v>
                </c:pt>
                <c:pt idx="1">
                  <c:v>5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0A-4769-AAC3-103A493EC78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40990223"/>
        <c:axId val="40973903"/>
        <c:axId val="0"/>
      </c:bar3DChart>
      <c:catAx>
        <c:axId val="409902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73903"/>
        <c:crosses val="autoZero"/>
        <c:auto val="1"/>
        <c:lblAlgn val="ctr"/>
        <c:lblOffset val="100"/>
        <c:noMultiLvlLbl val="0"/>
      </c:catAx>
      <c:valAx>
        <c:axId val="409739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09902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[customer-support-operations-dashboard.xlsm]Analysis!ResolvedVsUnresolvedPivot</c:name>
    <c:fmtId val="19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Analysis!$B$105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Analysis!$A$106:$A$107</c:f>
              <c:strCache>
                <c:ptCount val="2"/>
                <c:pt idx="0">
                  <c:v>Done</c:v>
                </c:pt>
                <c:pt idx="1">
                  <c:v>Pending</c:v>
                </c:pt>
              </c:strCache>
            </c:strRef>
          </c:cat>
          <c:val>
            <c:numRef>
              <c:f>Analysis!$B$106:$B$107</c:f>
              <c:numCache>
                <c:formatCode>General</c:formatCode>
                <c:ptCount val="2"/>
                <c:pt idx="0">
                  <c:v>959</c:v>
                </c:pt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9B-492D-BE48-6E23A599C3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2890768"/>
        <c:axId val="1087412080"/>
      </c:barChart>
      <c:catAx>
        <c:axId val="472890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7412080"/>
        <c:crosses val="autoZero"/>
        <c:auto val="1"/>
        <c:lblAlgn val="ctr"/>
        <c:lblOffset val="100"/>
        <c:noMultiLvlLbl val="0"/>
      </c:catAx>
      <c:valAx>
        <c:axId val="108741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90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[customer-support-operations-dashboard.xlsm]Analysis!DateResolvedPivot</c:name>
    <c:fmtId val="3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3074130324384533E-2"/>
          <c:y val="3.2782262214861274E-2"/>
          <c:w val="0.93385173935123089"/>
          <c:h val="0.86485512401923437"/>
        </c:manualLayout>
      </c:layout>
      <c:lineChart>
        <c:grouping val="standard"/>
        <c:varyColors val="0"/>
        <c:ser>
          <c:idx val="0"/>
          <c:order val="0"/>
          <c:tx>
            <c:strRef>
              <c:f>Analysis!$C$130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Analysis!$B$131:$B$146</c:f>
              <c:multiLvlStrCache>
                <c:ptCount val="12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  <c:pt idx="11">
                    <c:v>&lt;02/09/2025</c:v>
                  </c:pt>
                </c:lvl>
                <c:lvl>
                  <c:pt idx="0">
                    <c:v>2025</c:v>
                  </c:pt>
                  <c:pt idx="4">
                    <c:v>2026</c:v>
                  </c:pt>
                  <c:pt idx="11">
                    <c:v>&lt;02/09/2025</c:v>
                  </c:pt>
                </c:lvl>
              </c:multiLvlStrCache>
            </c:multiLvlStrRef>
          </c:cat>
          <c:val>
            <c:numRef>
              <c:f>Analysis!$C$131:$C$146</c:f>
              <c:numCache>
                <c:formatCode>General</c:formatCode>
                <c:ptCount val="12"/>
                <c:pt idx="0">
                  <c:v>48</c:v>
                </c:pt>
                <c:pt idx="1">
                  <c:v>65</c:v>
                </c:pt>
                <c:pt idx="2">
                  <c:v>63</c:v>
                </c:pt>
                <c:pt idx="3">
                  <c:v>64</c:v>
                </c:pt>
                <c:pt idx="4">
                  <c:v>62</c:v>
                </c:pt>
                <c:pt idx="5">
                  <c:v>66</c:v>
                </c:pt>
                <c:pt idx="6">
                  <c:v>129</c:v>
                </c:pt>
                <c:pt idx="7">
                  <c:v>121</c:v>
                </c:pt>
                <c:pt idx="8">
                  <c:v>99</c:v>
                </c:pt>
                <c:pt idx="9">
                  <c:v>112</c:v>
                </c:pt>
                <c:pt idx="10">
                  <c:v>14</c:v>
                </c:pt>
                <c:pt idx="11">
                  <c:v>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B4-4EE5-A643-ECAE8CDF4F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1226256"/>
        <c:axId val="1541222416"/>
      </c:lineChart>
      <c:catAx>
        <c:axId val="1541226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1222416"/>
        <c:crosses val="autoZero"/>
        <c:auto val="1"/>
        <c:lblAlgn val="ctr"/>
        <c:lblOffset val="100"/>
        <c:noMultiLvlLbl val="0"/>
      </c:catAx>
      <c:valAx>
        <c:axId val="154122241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54122625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268987</xdr:colOff>
      <xdr:row>11</xdr:row>
      <xdr:rowOff>47624</xdr:rowOff>
    </xdr:from>
    <xdr:to>
      <xdr:col>101</xdr:col>
      <xdr:colOff>439580</xdr:colOff>
      <xdr:row>139</xdr:row>
      <xdr:rowOff>55717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1D1A4E67-CBC2-F17E-3F94-37137EABD6A6}"/>
            </a:ext>
          </a:extLst>
        </xdr:cNvPr>
        <xdr:cNvGrpSpPr/>
      </xdr:nvGrpSpPr>
      <xdr:grpSpPr>
        <a:xfrm>
          <a:off x="23433787" y="1933574"/>
          <a:ext cx="38575393" cy="21953693"/>
          <a:chOff x="2696724" y="595198"/>
          <a:chExt cx="38955787" cy="21507863"/>
        </a:xfrm>
      </xdr:grpSpPr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E7C737A3-0C72-AD68-1C9F-8B59836BEBA8}"/>
              </a:ext>
            </a:extLst>
          </xdr:cNvPr>
          <xdr:cNvGrpSpPr/>
        </xdr:nvGrpSpPr>
        <xdr:grpSpPr>
          <a:xfrm>
            <a:off x="2696724" y="595198"/>
            <a:ext cx="38893083" cy="21507863"/>
            <a:chOff x="6092977" y="1416991"/>
            <a:chExt cx="21349606" cy="7705608"/>
          </a:xfrm>
        </xdr:grpSpPr>
        <xdr:sp macro="" textlink="">
          <xdr:nvSpPr>
            <xdr:cNvPr id="2" name="Rectangle 1">
              <a:extLst>
                <a:ext uri="{FF2B5EF4-FFF2-40B4-BE49-F238E27FC236}">
                  <a16:creationId xmlns:a16="http://schemas.microsoft.com/office/drawing/2014/main" id="{7B9329FB-D2EA-8357-0679-C08726C3ED90}"/>
                </a:ext>
              </a:extLst>
            </xdr:cNvPr>
            <xdr:cNvSpPr/>
          </xdr:nvSpPr>
          <xdr:spPr>
            <a:xfrm>
              <a:off x="6092977" y="1450822"/>
              <a:ext cx="21349606" cy="7671777"/>
            </a:xfrm>
            <a:prstGeom prst="rect">
              <a:avLst/>
            </a:prstGeom>
            <a:solidFill>
              <a:schemeClr val="bg1"/>
            </a:solidFill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3" name="Rectangle: Diagonal Corners Rounded 2">
              <a:extLst>
                <a:ext uri="{FF2B5EF4-FFF2-40B4-BE49-F238E27FC236}">
                  <a16:creationId xmlns:a16="http://schemas.microsoft.com/office/drawing/2014/main" id="{7D9432F0-8423-B7B7-167E-94F460EF1DE3}"/>
                </a:ext>
              </a:extLst>
            </xdr:cNvPr>
            <xdr:cNvSpPr/>
          </xdr:nvSpPr>
          <xdr:spPr>
            <a:xfrm flipH="1">
              <a:off x="6143622" y="1469570"/>
              <a:ext cx="2984869" cy="7623025"/>
            </a:xfrm>
            <a:prstGeom prst="round2DiagRect">
              <a:avLst>
                <a:gd name="adj1" fmla="val 16667"/>
                <a:gd name="adj2" fmla="val 0"/>
              </a:avLst>
            </a:prstGeom>
            <a:solidFill>
              <a:srgbClr val="A118B8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grpSp>
          <xdr:nvGrpSpPr>
            <xdr:cNvPr id="42" name="Group 41">
              <a:extLst>
                <a:ext uri="{FF2B5EF4-FFF2-40B4-BE49-F238E27FC236}">
                  <a16:creationId xmlns:a16="http://schemas.microsoft.com/office/drawing/2014/main" id="{D5D191DC-7DEE-5046-F2C5-A2FA6F04DB7B}"/>
                </a:ext>
              </a:extLst>
            </xdr:cNvPr>
            <xdr:cNvGrpSpPr/>
          </xdr:nvGrpSpPr>
          <xdr:grpSpPr>
            <a:xfrm>
              <a:off x="9152006" y="1437376"/>
              <a:ext cx="3671802" cy="958190"/>
              <a:chOff x="9373810" y="1455520"/>
              <a:chExt cx="3527895" cy="931731"/>
            </a:xfrm>
          </xdr:grpSpPr>
          <xdr:sp macro="" textlink="">
            <xdr:nvSpPr>
              <xdr:cNvPr id="4" name="Rectangle: Rounded Corners 3">
                <a:extLst>
                  <a:ext uri="{FF2B5EF4-FFF2-40B4-BE49-F238E27FC236}">
                    <a16:creationId xmlns:a16="http://schemas.microsoft.com/office/drawing/2014/main" id="{DC83FDB3-A10D-6443-8E96-8465C24466CF}"/>
                  </a:ext>
                </a:extLst>
              </xdr:cNvPr>
              <xdr:cNvSpPr/>
            </xdr:nvSpPr>
            <xdr:spPr>
              <a:xfrm>
                <a:off x="9373810" y="1477933"/>
                <a:ext cx="3527895" cy="903940"/>
              </a:xfrm>
              <a:prstGeom prst="roundRect">
                <a:avLst/>
              </a:prstGeom>
              <a:solidFill>
                <a:schemeClr val="accent1">
                  <a:lumMod val="20000"/>
                  <a:lumOff val="80000"/>
                </a:schemeClr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Analysis!B3">
            <xdr:nvSpPr>
              <xdr:cNvPr id="5" name="TextBox 4">
                <a:extLst>
                  <a:ext uri="{FF2B5EF4-FFF2-40B4-BE49-F238E27FC236}">
                    <a16:creationId xmlns:a16="http://schemas.microsoft.com/office/drawing/2014/main" id="{826650C8-9E4F-95EF-0932-99AC64CA5FB1}"/>
                  </a:ext>
                </a:extLst>
              </xdr:cNvPr>
              <xdr:cNvSpPr txBox="1"/>
            </xdr:nvSpPr>
            <xdr:spPr>
              <a:xfrm>
                <a:off x="11602535" y="1896284"/>
                <a:ext cx="1283483" cy="49096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62FE5B79-6B53-470D-9DD7-3DAD64DA5C21}" type="TxLink">
                  <a:rPr lang="en-US" sz="5000" b="1" i="0" u="none" strike="noStrike">
                    <a:solidFill>
                      <a:srgbClr val="000000"/>
                    </a:solidFill>
                    <a:latin typeface="Arial Black" panose="020B0A04020102020204" pitchFamily="34" charset="0"/>
                    <a:cs typeface="Arial"/>
                  </a:rPr>
                  <a:pPr algn="ctr"/>
                  <a:t>969</a:t>
                </a:fld>
                <a:endParaRPr lang="en-US" sz="5000" b="1">
                  <a:latin typeface="Arial Black" panose="020B0A04020102020204" pitchFamily="34" charset="0"/>
                </a:endParaRPr>
              </a:p>
            </xdr:txBody>
          </xdr:sp>
          <xdr:sp macro="" textlink="">
            <xdr:nvSpPr>
              <xdr:cNvPr id="6" name="TextBox 5">
                <a:extLst>
                  <a:ext uri="{FF2B5EF4-FFF2-40B4-BE49-F238E27FC236}">
                    <a16:creationId xmlns:a16="http://schemas.microsoft.com/office/drawing/2014/main" id="{358D2CA7-0D2A-B282-9825-A8ABDD5B2B6E}"/>
                  </a:ext>
                </a:extLst>
              </xdr:cNvPr>
              <xdr:cNvSpPr txBox="1"/>
            </xdr:nvSpPr>
            <xdr:spPr>
              <a:xfrm>
                <a:off x="9506665" y="1455520"/>
                <a:ext cx="3160073" cy="53041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l"/>
                <a:r>
                  <a:rPr lang="en-US" sz="2800" b="1">
                    <a:latin typeface="Segoe UI Black" panose="020B0A02040204020203" pitchFamily="34" charset="0"/>
                    <a:ea typeface="Segoe UI Black" panose="020B0A02040204020203" pitchFamily="34" charset="0"/>
                  </a:rPr>
                  <a:t>Total</a:t>
                </a:r>
                <a:r>
                  <a:rPr lang="en-US" sz="2800" b="1" baseline="0">
                    <a:latin typeface="Segoe UI Black" panose="020B0A02040204020203" pitchFamily="34" charset="0"/>
                    <a:ea typeface="Segoe UI Black" panose="020B0A02040204020203" pitchFamily="34" charset="0"/>
                  </a:rPr>
                  <a:t> T</a:t>
                </a:r>
                <a:r>
                  <a:rPr lang="en-US" sz="2800" b="1">
                    <a:latin typeface="Segoe UI Black" panose="020B0A02040204020203" pitchFamily="34" charset="0"/>
                    <a:ea typeface="Segoe UI Black" panose="020B0A02040204020203" pitchFamily="34" charset="0"/>
                  </a:rPr>
                  <a:t>ickets Created</a:t>
                </a:r>
              </a:p>
            </xdr:txBody>
          </xdr:sp>
        </xdr:grpSp>
        <xdr:grpSp>
          <xdr:nvGrpSpPr>
            <xdr:cNvPr id="10" name="Group 9">
              <a:extLst>
                <a:ext uri="{FF2B5EF4-FFF2-40B4-BE49-F238E27FC236}">
                  <a16:creationId xmlns:a16="http://schemas.microsoft.com/office/drawing/2014/main" id="{5A75C518-F6F2-CD97-9132-35CC94E9649B}"/>
                </a:ext>
              </a:extLst>
            </xdr:cNvPr>
            <xdr:cNvGrpSpPr/>
          </xdr:nvGrpSpPr>
          <xdr:grpSpPr>
            <a:xfrm>
              <a:off x="9173273" y="2485126"/>
              <a:ext cx="3667235" cy="3689537"/>
              <a:chOff x="3421380" y="1363980"/>
              <a:chExt cx="3552692" cy="2400300"/>
            </a:xfrm>
          </xdr:grpSpPr>
          <xdr:sp macro="" textlink="">
            <xdr:nvSpPr>
              <xdr:cNvPr id="7" name="Rectangle: Rounded Corners 6">
                <a:extLst>
                  <a:ext uri="{FF2B5EF4-FFF2-40B4-BE49-F238E27FC236}">
                    <a16:creationId xmlns:a16="http://schemas.microsoft.com/office/drawing/2014/main" id="{B604A544-65E2-441F-A1E6-295A29AF34C0}"/>
                  </a:ext>
                </a:extLst>
              </xdr:cNvPr>
              <xdr:cNvSpPr/>
            </xdr:nvSpPr>
            <xdr:spPr>
              <a:xfrm>
                <a:off x="3421380" y="1363980"/>
                <a:ext cx="3543300" cy="2400300"/>
              </a:xfrm>
              <a:prstGeom prst="roundRect">
                <a:avLst>
                  <a:gd name="adj" fmla="val 5238"/>
                </a:avLst>
              </a:prstGeom>
              <a:solidFill>
                <a:schemeClr val="accent1">
                  <a:lumMod val="20000"/>
                  <a:lumOff val="80000"/>
                </a:schemeClr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8" name="TextBox 7">
                <a:extLst>
                  <a:ext uri="{FF2B5EF4-FFF2-40B4-BE49-F238E27FC236}">
                    <a16:creationId xmlns:a16="http://schemas.microsoft.com/office/drawing/2014/main" id="{EFB4FC54-D5C0-4E8F-B036-16849F0CBDC9}"/>
                  </a:ext>
                </a:extLst>
              </xdr:cNvPr>
              <xdr:cNvSpPr txBox="1"/>
            </xdr:nvSpPr>
            <xdr:spPr>
              <a:xfrm>
                <a:off x="3474720" y="1394460"/>
                <a:ext cx="3499352" cy="34275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l"/>
                <a:r>
                  <a:rPr lang="en-US" sz="2800" b="1">
                    <a:solidFill>
                      <a:schemeClr val="dk1"/>
                    </a:solidFill>
                    <a:latin typeface="Segoe UI Black" panose="020B0A02040204020203" pitchFamily="34" charset="0"/>
                    <a:ea typeface="Segoe UI Black" panose="020B0A02040204020203" pitchFamily="34" charset="0"/>
                    <a:cs typeface="+mn-cs"/>
                  </a:rPr>
                  <a:t>Unresolved Tickets by Priority</a:t>
                </a:r>
              </a:p>
            </xdr:txBody>
          </xdr:sp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E068C171-77D3-4903-B6D1-FEF6FBB64FFB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3467100" y="1645920"/>
              <a:ext cx="3444240" cy="192786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</xdr:grpSp>
        <xdr:grpSp>
          <xdr:nvGrpSpPr>
            <xdr:cNvPr id="17" name="Group 16">
              <a:extLst>
                <a:ext uri="{FF2B5EF4-FFF2-40B4-BE49-F238E27FC236}">
                  <a16:creationId xmlns:a16="http://schemas.microsoft.com/office/drawing/2014/main" id="{3FB2CCC8-7F7A-5279-0B0A-1705FC47EEDB}"/>
                </a:ext>
              </a:extLst>
            </xdr:cNvPr>
            <xdr:cNvGrpSpPr/>
          </xdr:nvGrpSpPr>
          <xdr:grpSpPr>
            <a:xfrm>
              <a:off x="12988031" y="3150009"/>
              <a:ext cx="4677672" cy="2992606"/>
              <a:chOff x="7228012" y="1348533"/>
              <a:chExt cx="3553933" cy="2423720"/>
            </a:xfrm>
          </xdr:grpSpPr>
          <xdr:sp macro="" textlink="">
            <xdr:nvSpPr>
              <xdr:cNvPr id="11" name="Rectangle: Rounded Corners 10">
                <a:extLst>
                  <a:ext uri="{FF2B5EF4-FFF2-40B4-BE49-F238E27FC236}">
                    <a16:creationId xmlns:a16="http://schemas.microsoft.com/office/drawing/2014/main" id="{A9948D8B-06C9-49B0-B919-048CABE23EDE}"/>
                  </a:ext>
                </a:extLst>
              </xdr:cNvPr>
              <xdr:cNvSpPr/>
            </xdr:nvSpPr>
            <xdr:spPr>
              <a:xfrm>
                <a:off x="7228012" y="1362031"/>
                <a:ext cx="3553933" cy="2410222"/>
              </a:xfrm>
              <a:prstGeom prst="roundRect">
                <a:avLst>
                  <a:gd name="adj" fmla="val 5238"/>
                </a:avLst>
              </a:prstGeom>
              <a:solidFill>
                <a:schemeClr val="accent1">
                  <a:lumMod val="20000"/>
                  <a:lumOff val="80000"/>
                </a:schemeClr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12" name="TextBox 11">
                <a:extLst>
                  <a:ext uri="{FF2B5EF4-FFF2-40B4-BE49-F238E27FC236}">
                    <a16:creationId xmlns:a16="http://schemas.microsoft.com/office/drawing/2014/main" id="{65AC038E-F29A-42B3-BC82-A252D1A1E0B4}"/>
                  </a:ext>
                </a:extLst>
              </xdr:cNvPr>
              <xdr:cNvSpPr txBox="1"/>
            </xdr:nvSpPr>
            <xdr:spPr>
              <a:xfrm>
                <a:off x="7327620" y="1381216"/>
                <a:ext cx="2401249" cy="2800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l"/>
                <a:r>
                  <a:rPr lang="en-US" sz="2800" b="1">
                    <a:solidFill>
                      <a:schemeClr val="dk1"/>
                    </a:solidFill>
                    <a:latin typeface="Segoe UI Black" panose="020B0A02040204020203" pitchFamily="34" charset="0"/>
                    <a:ea typeface="Segoe UI Black" panose="020B0A02040204020203" pitchFamily="34" charset="0"/>
                    <a:cs typeface="+mn-cs"/>
                  </a:rPr>
                  <a:t>Unresolved Tickets by Status</a:t>
                </a:r>
              </a:p>
              <a:p>
                <a:pPr marL="0" indent="0" algn="l"/>
                <a:endParaRPr lang="en-US" sz="2800" b="1">
                  <a:solidFill>
                    <a:schemeClr val="dk1"/>
                  </a:solidFill>
                  <a:latin typeface="Segoe UI Black" panose="020B0A02040204020203" pitchFamily="34" charset="0"/>
                  <a:ea typeface="Segoe UI Black" panose="020B0A02040204020203" pitchFamily="34" charset="0"/>
                  <a:cs typeface="+mn-cs"/>
                </a:endParaRPr>
              </a:p>
            </xdr:txBody>
          </xdr:sp>
          <xdr:graphicFrame macro="">
            <xdr:nvGraphicFramePr>
              <xdr:cNvPr id="13" name="Chart 12">
                <a:extLst>
                  <a:ext uri="{FF2B5EF4-FFF2-40B4-BE49-F238E27FC236}">
                    <a16:creationId xmlns:a16="http://schemas.microsoft.com/office/drawing/2014/main" id="{2F74DC29-373D-48BF-8A02-7648DCFBB8AB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7255242" y="1348533"/>
              <a:ext cx="3426174" cy="2412949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</xdr:grpSp>
        <xdr:grpSp>
          <xdr:nvGrpSpPr>
            <xdr:cNvPr id="32" name="Group 31">
              <a:extLst>
                <a:ext uri="{FF2B5EF4-FFF2-40B4-BE49-F238E27FC236}">
                  <a16:creationId xmlns:a16="http://schemas.microsoft.com/office/drawing/2014/main" id="{909AD8D6-6F3D-A415-C346-F501DE9F57C3}"/>
                </a:ext>
              </a:extLst>
            </xdr:cNvPr>
            <xdr:cNvGrpSpPr/>
          </xdr:nvGrpSpPr>
          <xdr:grpSpPr>
            <a:xfrm>
              <a:off x="9207203" y="6327863"/>
              <a:ext cx="3657540" cy="2701521"/>
              <a:chOff x="3322945" y="3584282"/>
              <a:chExt cx="3516406" cy="2423738"/>
            </a:xfrm>
          </xdr:grpSpPr>
          <xdr:sp macro="" textlink="">
            <xdr:nvSpPr>
              <xdr:cNvPr id="16" name="Rectangle: Rounded Corners 15">
                <a:extLst>
                  <a:ext uri="{FF2B5EF4-FFF2-40B4-BE49-F238E27FC236}">
                    <a16:creationId xmlns:a16="http://schemas.microsoft.com/office/drawing/2014/main" id="{78880455-01BB-4718-B071-77645659BC75}"/>
                  </a:ext>
                </a:extLst>
              </xdr:cNvPr>
              <xdr:cNvSpPr/>
            </xdr:nvSpPr>
            <xdr:spPr>
              <a:xfrm>
                <a:off x="3322945" y="3601445"/>
                <a:ext cx="3516406" cy="2406575"/>
              </a:xfrm>
              <a:prstGeom prst="roundRect">
                <a:avLst>
                  <a:gd name="adj" fmla="val 5238"/>
                </a:avLst>
              </a:prstGeom>
              <a:solidFill>
                <a:schemeClr val="accent1">
                  <a:lumMod val="20000"/>
                  <a:lumOff val="80000"/>
                </a:schemeClr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graphicFrame macro="">
            <xdr:nvGraphicFramePr>
              <xdr:cNvPr id="19" name="Chart 18">
                <a:extLst>
                  <a:ext uri="{FF2B5EF4-FFF2-40B4-BE49-F238E27FC236}">
                    <a16:creationId xmlns:a16="http://schemas.microsoft.com/office/drawing/2014/main" id="{9757E3F7-66B3-4D62-8CFA-7F983B8DE328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3533525" y="3902755"/>
              <a:ext cx="3123689" cy="1905829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25" name="TextBox 24">
                <a:extLst>
                  <a:ext uri="{FF2B5EF4-FFF2-40B4-BE49-F238E27FC236}">
                    <a16:creationId xmlns:a16="http://schemas.microsoft.com/office/drawing/2014/main" id="{0BDFE858-AD45-4BE1-95FD-0282588D3526}"/>
                  </a:ext>
                </a:extLst>
              </xdr:cNvPr>
              <xdr:cNvSpPr txBox="1"/>
            </xdr:nvSpPr>
            <xdr:spPr>
              <a:xfrm>
                <a:off x="3361893" y="3584282"/>
                <a:ext cx="3393527" cy="46808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l"/>
                <a:r>
                  <a:rPr lang="en-US" sz="2800" b="1">
                    <a:solidFill>
                      <a:schemeClr val="dk1"/>
                    </a:solidFill>
                    <a:latin typeface="Segoe UI Black" panose="020B0A02040204020203" pitchFamily="34" charset="0"/>
                    <a:ea typeface="Segoe UI Black" panose="020B0A02040204020203" pitchFamily="34" charset="0"/>
                    <a:cs typeface="+mn-cs"/>
                  </a:rPr>
                  <a:t>Tickets Resolved by Assigned to</a:t>
                </a:r>
              </a:p>
            </xdr:txBody>
          </xdr:sp>
        </xdr:grpSp>
        <xdr:grpSp>
          <xdr:nvGrpSpPr>
            <xdr:cNvPr id="31" name="Group 30">
              <a:extLst>
                <a:ext uri="{FF2B5EF4-FFF2-40B4-BE49-F238E27FC236}">
                  <a16:creationId xmlns:a16="http://schemas.microsoft.com/office/drawing/2014/main" id="{53785974-D5FF-8071-763E-8B9256D8CB93}"/>
                </a:ext>
              </a:extLst>
            </xdr:cNvPr>
            <xdr:cNvGrpSpPr/>
          </xdr:nvGrpSpPr>
          <xdr:grpSpPr>
            <a:xfrm>
              <a:off x="13081259" y="6274869"/>
              <a:ext cx="4613674" cy="2717068"/>
              <a:chOff x="7031784" y="3623655"/>
              <a:chExt cx="3516406" cy="2406575"/>
            </a:xfrm>
          </xdr:grpSpPr>
          <xdr:sp macro="" textlink="">
            <xdr:nvSpPr>
              <xdr:cNvPr id="20" name="Rectangle: Rounded Corners 19">
                <a:extLst>
                  <a:ext uri="{FF2B5EF4-FFF2-40B4-BE49-F238E27FC236}">
                    <a16:creationId xmlns:a16="http://schemas.microsoft.com/office/drawing/2014/main" id="{5FDE7831-7E4B-4921-8B51-0C1BBB021A03}"/>
                  </a:ext>
                </a:extLst>
              </xdr:cNvPr>
              <xdr:cNvSpPr/>
            </xdr:nvSpPr>
            <xdr:spPr>
              <a:xfrm>
                <a:off x="7031784" y="3623655"/>
                <a:ext cx="3516406" cy="2406575"/>
              </a:xfrm>
              <a:prstGeom prst="roundRect">
                <a:avLst>
                  <a:gd name="adj" fmla="val 5238"/>
                </a:avLst>
              </a:prstGeom>
              <a:solidFill>
                <a:srgbClr val="D9E7FD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graphicFrame macro="">
            <xdr:nvGraphicFramePr>
              <xdr:cNvPr id="21" name="Chart 20">
                <a:extLst>
                  <a:ext uri="{FF2B5EF4-FFF2-40B4-BE49-F238E27FC236}">
                    <a16:creationId xmlns:a16="http://schemas.microsoft.com/office/drawing/2014/main" id="{E74FAF89-FC71-4C10-8281-16E18D411319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7098746" y="3920247"/>
              <a:ext cx="3434060" cy="195043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26" name="TextBox 25">
                <a:extLst>
                  <a:ext uri="{FF2B5EF4-FFF2-40B4-BE49-F238E27FC236}">
                    <a16:creationId xmlns:a16="http://schemas.microsoft.com/office/drawing/2014/main" id="{3984661C-3AE8-493C-9D86-658D0B98836F}"/>
                  </a:ext>
                </a:extLst>
              </xdr:cNvPr>
              <xdr:cNvSpPr txBox="1"/>
            </xdr:nvSpPr>
            <xdr:spPr>
              <a:xfrm>
                <a:off x="7063356" y="3652318"/>
                <a:ext cx="2530481" cy="26908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l"/>
                <a:r>
                  <a:rPr lang="en-US" sz="2800" b="1">
                    <a:solidFill>
                      <a:schemeClr val="dk1"/>
                    </a:solidFill>
                    <a:latin typeface="Segoe UI Black" panose="020B0A02040204020203" pitchFamily="34" charset="0"/>
                    <a:ea typeface="Segoe UI Black" panose="020B0A02040204020203" pitchFamily="34" charset="0"/>
                    <a:cs typeface="+mn-cs"/>
                  </a:rPr>
                  <a:t>Ticket by Account Type</a:t>
                </a:r>
              </a:p>
            </xdr:txBody>
          </xdr:sp>
        </xdr:grpSp>
        <xdr:grpSp>
          <xdr:nvGrpSpPr>
            <xdr:cNvPr id="35" name="Group 34">
              <a:extLst>
                <a:ext uri="{FF2B5EF4-FFF2-40B4-BE49-F238E27FC236}">
                  <a16:creationId xmlns:a16="http://schemas.microsoft.com/office/drawing/2014/main" id="{8819E25A-4120-17F7-1D1E-13B61B8B8F7F}"/>
                </a:ext>
              </a:extLst>
            </xdr:cNvPr>
            <xdr:cNvGrpSpPr/>
          </xdr:nvGrpSpPr>
          <xdr:grpSpPr>
            <a:xfrm>
              <a:off x="17800851" y="6322787"/>
              <a:ext cx="4527369" cy="2706599"/>
              <a:chOff x="10905167" y="3585620"/>
              <a:chExt cx="3599132" cy="2483092"/>
            </a:xfrm>
          </xdr:grpSpPr>
          <xdr:sp macro="" textlink="">
            <xdr:nvSpPr>
              <xdr:cNvPr id="23" name="Rectangle: Rounded Corners 22">
                <a:extLst>
                  <a:ext uri="{FF2B5EF4-FFF2-40B4-BE49-F238E27FC236}">
                    <a16:creationId xmlns:a16="http://schemas.microsoft.com/office/drawing/2014/main" id="{3D1C9389-484A-4344-832F-5BA557EA6957}"/>
                  </a:ext>
                </a:extLst>
              </xdr:cNvPr>
              <xdr:cNvSpPr/>
            </xdr:nvSpPr>
            <xdr:spPr>
              <a:xfrm>
                <a:off x="10905167" y="3585620"/>
                <a:ext cx="3599132" cy="2483092"/>
              </a:xfrm>
              <a:prstGeom prst="roundRect">
                <a:avLst>
                  <a:gd name="adj" fmla="val 5238"/>
                </a:avLst>
              </a:prstGeom>
              <a:solidFill>
                <a:schemeClr val="accent1">
                  <a:lumMod val="20000"/>
                  <a:lumOff val="80000"/>
                </a:schemeClr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graphicFrame macro="">
            <xdr:nvGraphicFramePr>
              <xdr:cNvPr id="24" name="Chart 23">
                <a:extLst>
                  <a:ext uri="{FF2B5EF4-FFF2-40B4-BE49-F238E27FC236}">
                    <a16:creationId xmlns:a16="http://schemas.microsoft.com/office/drawing/2014/main" id="{1D0E359F-4D3B-4D06-8BE7-2D04B24123BA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1000975" y="3988493"/>
              <a:ext cx="3408345" cy="2017497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7" name="TextBox 26">
                <a:extLst>
                  <a:ext uri="{FF2B5EF4-FFF2-40B4-BE49-F238E27FC236}">
                    <a16:creationId xmlns:a16="http://schemas.microsoft.com/office/drawing/2014/main" id="{2A9296FD-A007-47A2-97B5-ACEB2F721826}"/>
                  </a:ext>
                </a:extLst>
              </xdr:cNvPr>
              <xdr:cNvSpPr txBox="1"/>
            </xdr:nvSpPr>
            <xdr:spPr>
              <a:xfrm>
                <a:off x="10988937" y="3752369"/>
                <a:ext cx="2527758" cy="15448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l"/>
                <a:r>
                  <a:rPr lang="en-US" sz="2800" b="1">
                    <a:solidFill>
                      <a:schemeClr val="dk1"/>
                    </a:solidFill>
                    <a:latin typeface="Segoe UI Black" panose="020B0A02040204020203" pitchFamily="34" charset="0"/>
                    <a:ea typeface="Segoe UI Black" panose="020B0A02040204020203" pitchFamily="34" charset="0"/>
                    <a:cs typeface="+mn-cs"/>
                  </a:rPr>
                  <a:t>Ticket Created Over time</a:t>
                </a:r>
              </a:p>
            </xdr:txBody>
          </xdr:sp>
        </xdr:grpSp>
        <xdr:grpSp>
          <xdr:nvGrpSpPr>
            <xdr:cNvPr id="40" name="Group 39">
              <a:extLst>
                <a:ext uri="{FF2B5EF4-FFF2-40B4-BE49-F238E27FC236}">
                  <a16:creationId xmlns:a16="http://schemas.microsoft.com/office/drawing/2014/main" id="{76370CCE-CFFF-8137-8FBA-1573873C6981}"/>
                </a:ext>
              </a:extLst>
            </xdr:cNvPr>
            <xdr:cNvGrpSpPr/>
          </xdr:nvGrpSpPr>
          <xdr:grpSpPr>
            <a:xfrm>
              <a:off x="17773226" y="3136857"/>
              <a:ext cx="4560299" cy="3082773"/>
              <a:chOff x="10753952" y="2591522"/>
              <a:chExt cx="4385092" cy="2596526"/>
            </a:xfrm>
          </xdr:grpSpPr>
          <xdr:sp macro="" textlink="">
            <xdr:nvSpPr>
              <xdr:cNvPr id="14" name="Rectangle: Rounded Corners 13">
                <a:extLst>
                  <a:ext uri="{FF2B5EF4-FFF2-40B4-BE49-F238E27FC236}">
                    <a16:creationId xmlns:a16="http://schemas.microsoft.com/office/drawing/2014/main" id="{732B6A4B-0B19-4BD1-97F4-343AEE45F2C0}"/>
                  </a:ext>
                </a:extLst>
              </xdr:cNvPr>
              <xdr:cNvSpPr/>
            </xdr:nvSpPr>
            <xdr:spPr>
              <a:xfrm>
                <a:off x="10753952" y="2591522"/>
                <a:ext cx="4385092" cy="2596526"/>
              </a:xfrm>
              <a:prstGeom prst="roundRect">
                <a:avLst>
                  <a:gd name="adj" fmla="val 5238"/>
                </a:avLst>
              </a:prstGeom>
              <a:solidFill>
                <a:schemeClr val="accent1">
                  <a:lumMod val="20000"/>
                  <a:lumOff val="80000"/>
                </a:schemeClr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graphicFrame macro="">
            <xdr:nvGraphicFramePr>
              <xdr:cNvPr id="15" name="Chart 14">
                <a:extLst>
                  <a:ext uri="{FF2B5EF4-FFF2-40B4-BE49-F238E27FC236}">
                    <a16:creationId xmlns:a16="http://schemas.microsoft.com/office/drawing/2014/main" id="{EBC5BB6D-8368-488F-A7AE-5B55BBDD9B6F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0884865" y="2982249"/>
              <a:ext cx="4243820" cy="218644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6"/>
              </a:graphicData>
            </a:graphic>
          </xdr:graphicFrame>
          <xdr:sp macro="" textlink="">
            <xdr:nvSpPr>
              <xdr:cNvPr id="28" name="TextBox 27">
                <a:extLst>
                  <a:ext uri="{FF2B5EF4-FFF2-40B4-BE49-F238E27FC236}">
                    <a16:creationId xmlns:a16="http://schemas.microsoft.com/office/drawing/2014/main" id="{F036F808-74B3-4442-AD17-25D75072DB0C}"/>
                  </a:ext>
                </a:extLst>
              </xdr:cNvPr>
              <xdr:cNvSpPr txBox="1"/>
            </xdr:nvSpPr>
            <xdr:spPr>
              <a:xfrm>
                <a:off x="10835417" y="2665946"/>
                <a:ext cx="2715538" cy="24251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l"/>
                <a:r>
                  <a:rPr lang="en-US" sz="2800" b="1">
                    <a:solidFill>
                      <a:schemeClr val="dk1"/>
                    </a:solidFill>
                    <a:latin typeface="Segoe UI Black" panose="020B0A02040204020203" pitchFamily="34" charset="0"/>
                    <a:ea typeface="Segoe UI Black" panose="020B0A02040204020203" pitchFamily="34" charset="0"/>
                    <a:cs typeface="+mn-cs"/>
                  </a:rPr>
                  <a:t>Ticket by Category</a:t>
                </a:r>
              </a:p>
            </xdr:txBody>
          </xdr:sp>
        </xdr:grpSp>
        <xdr:grpSp>
          <xdr:nvGrpSpPr>
            <xdr:cNvPr id="37" name="Group 36">
              <a:extLst>
                <a:ext uri="{FF2B5EF4-FFF2-40B4-BE49-F238E27FC236}">
                  <a16:creationId xmlns:a16="http://schemas.microsoft.com/office/drawing/2014/main" id="{D53679BF-072A-4017-9DCF-9BFDFF11235E}"/>
                </a:ext>
              </a:extLst>
            </xdr:cNvPr>
            <xdr:cNvGrpSpPr/>
          </xdr:nvGrpSpPr>
          <xdr:grpSpPr>
            <a:xfrm>
              <a:off x="13011492" y="1416991"/>
              <a:ext cx="14306025" cy="1710432"/>
              <a:chOff x="6914030" y="83328"/>
              <a:chExt cx="8282266" cy="1646406"/>
            </a:xfrm>
          </xdr:grpSpPr>
          <xdr:sp macro="" textlink="">
            <xdr:nvSpPr>
              <xdr:cNvPr id="36" name="Rectangle: Rounded Corners 35">
                <a:extLst>
                  <a:ext uri="{FF2B5EF4-FFF2-40B4-BE49-F238E27FC236}">
                    <a16:creationId xmlns:a16="http://schemas.microsoft.com/office/drawing/2014/main" id="{016DA4FC-0A09-4C4F-ABCF-9427D9189061}"/>
                  </a:ext>
                </a:extLst>
              </xdr:cNvPr>
              <xdr:cNvSpPr/>
            </xdr:nvSpPr>
            <xdr:spPr>
              <a:xfrm>
                <a:off x="6914030" y="105983"/>
                <a:ext cx="8282266" cy="1623751"/>
              </a:xfrm>
              <a:prstGeom prst="roundRect">
                <a:avLst>
                  <a:gd name="adj" fmla="val 8975"/>
                </a:avLst>
              </a:prstGeom>
              <a:solidFill>
                <a:schemeClr val="accent1">
                  <a:lumMod val="20000"/>
                  <a:lumOff val="80000"/>
                </a:schemeClr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mc:AlternateContent xmlns:mc="http://schemas.openxmlformats.org/markup-compatibility/2006" xmlns:tsle="http://schemas.microsoft.com/office/drawing/2012/timeslicer">
            <mc:Choice Requires="tsle">
              <xdr:graphicFrame macro="">
                <xdr:nvGraphicFramePr>
                  <xdr:cNvPr id="29" name="Date Created 1">
                    <a:extLst>
                      <a:ext uri="{FF2B5EF4-FFF2-40B4-BE49-F238E27FC236}">
                        <a16:creationId xmlns:a16="http://schemas.microsoft.com/office/drawing/2014/main" id="{787AFEFB-4D42-462C-81E6-FB5A42E22A2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75551" y="83328"/>
                  <a:ext cx="8217863" cy="756447"/>
                </xdr:xfrm>
                <a:graphic>
                  <a:graphicData uri="http://schemas.microsoft.com/office/drawing/2012/timeslicer">
                    <tsle:timeslicer name="Date Created 1"/>
                  </a:graphicData>
                </a:graphic>
              </xdr:graphicFrame>
            </mc:Choice>
            <mc:Fallback xmlns="">
              <xdr:sp macro="" textlink="">
                <xdr:nvSpPr>
                  <xdr:cNvPr id="0" name=""/>
                  <xdr:cNvSpPr>
                    <a:spLocks noTextEdit="1"/>
                  </xdr:cNvSpPr>
                </xdr:nvSpPr>
                <xdr:spPr>
                  <a:xfrm>
                    <a:off x="36665112" y="1881187"/>
                    <a:ext cx="26004794" cy="2176798"/>
                  </a:xfrm>
                  <a:prstGeom prst="rect">
                    <a:avLst/>
                  </a:prstGeom>
                  <a:solidFill>
                    <a:prstClr val="white"/>
                  </a:solidFill>
                  <a:ln w="1">
                    <a:solidFill>
                      <a:prstClr val="green"/>
                    </a:solidFill>
                  </a:ln>
                </xdr:spPr>
                <xdr:txBody>
                  <a:bodyPr vertOverflow="clip" horzOverflow="clip"/>
                  <a:lstStyle/>
                  <a:p>
                    <a:r>
                      <a:rPr lang="en-US" sz="1100"/>
                      <a:t>Timeline: Works in Excel 2013 or higher. Do not move or resize.</a:t>
                    </a:r>
                  </a:p>
                </xdr:txBody>
              </xdr:sp>
            </mc:Fallback>
          </mc:AlternateContent>
        </xdr:grpSp>
        <xdr:sp macro="" textlink="">
          <xdr:nvSpPr>
            <xdr:cNvPr id="43" name="TextBox 42">
              <a:extLst>
                <a:ext uri="{FF2B5EF4-FFF2-40B4-BE49-F238E27FC236}">
                  <a16:creationId xmlns:a16="http://schemas.microsoft.com/office/drawing/2014/main" id="{158F2863-9406-8AAE-D866-C83E6BF8EB70}"/>
                </a:ext>
              </a:extLst>
            </xdr:cNvPr>
            <xdr:cNvSpPr txBox="1"/>
          </xdr:nvSpPr>
          <xdr:spPr>
            <a:xfrm>
              <a:off x="6130960" y="1530047"/>
              <a:ext cx="2970401" cy="45130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>
              <a:scene3d>
                <a:camera prst="orthographicFront"/>
                <a:lightRig rig="harsh" dir="t"/>
              </a:scene3d>
              <a:sp3d extrusionH="57150" prstMaterial="matte">
                <a:bevelT w="63500" h="12700" prst="angle"/>
                <a:contourClr>
                  <a:schemeClr val="bg1">
                    <a:lumMod val="65000"/>
                  </a:schemeClr>
                </a:contourClr>
              </a:sp3d>
            </a:bodyPr>
            <a:lstStyle/>
            <a:p>
              <a:pPr algn="l"/>
              <a:r>
                <a:rPr lang="en-US" sz="2500" b="1" cap="none" spc="0">
                  <a:ln/>
                  <a:solidFill>
                    <a:schemeClr val="bg1"/>
                  </a:solidFill>
                  <a:effectLst/>
                  <a:latin typeface="Segoe UI Black" panose="020B0A02040204020203" pitchFamily="34" charset="0"/>
                  <a:ea typeface="Segoe UI Black" panose="020B0A02040204020203" pitchFamily="34" charset="0"/>
                </a:rPr>
                <a:t>Support</a:t>
              </a:r>
              <a:r>
                <a:rPr lang="en-US" sz="2500" b="1" cap="none" spc="0" baseline="0">
                  <a:ln/>
                  <a:solidFill>
                    <a:schemeClr val="bg1"/>
                  </a:solidFill>
                  <a:effectLst/>
                  <a:latin typeface="Segoe UI Black" panose="020B0A02040204020203" pitchFamily="34" charset="0"/>
                  <a:ea typeface="Segoe UI Black" panose="020B0A02040204020203" pitchFamily="34" charset="0"/>
                </a:rPr>
                <a:t> Operation </a:t>
              </a:r>
              <a:endParaRPr lang="en-US" sz="2500" b="1" cap="none" spc="0">
                <a:ln/>
                <a:solidFill>
                  <a:schemeClr val="bg1"/>
                </a:solidFill>
                <a:effectLst/>
                <a:latin typeface="Segoe UI Black" panose="020B0A02040204020203" pitchFamily="34" charset="0"/>
                <a:ea typeface="Segoe UI Black" panose="020B0A02040204020203" pitchFamily="34" charset="0"/>
              </a:endParaRPr>
            </a:p>
          </xdr:txBody>
        </xdr:sp>
        <xdr:sp macro="" textlink="">
          <xdr:nvSpPr>
            <xdr:cNvPr id="44" name="TextBox 43">
              <a:extLst>
                <a:ext uri="{FF2B5EF4-FFF2-40B4-BE49-F238E27FC236}">
                  <a16:creationId xmlns:a16="http://schemas.microsoft.com/office/drawing/2014/main" id="{53AF9CC0-38C1-0F02-CE1B-3EAEE4172B54}"/>
                </a:ext>
              </a:extLst>
            </xdr:cNvPr>
            <xdr:cNvSpPr txBox="1"/>
          </xdr:nvSpPr>
          <xdr:spPr>
            <a:xfrm>
              <a:off x="6156282" y="2066017"/>
              <a:ext cx="2995723" cy="72798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3200">
                  <a:solidFill>
                    <a:schemeClr val="accent1">
                      <a:lumMod val="40000"/>
                      <a:lumOff val="60000"/>
                    </a:schemeClr>
                  </a:solidFill>
                  <a:latin typeface="Segoe UI Black" panose="020B0A02040204020203" pitchFamily="34" charset="0"/>
                  <a:ea typeface="Segoe UI Black" panose="020B0A02040204020203" pitchFamily="34" charset="0"/>
                </a:rPr>
                <a:t>DASHBOARD</a:t>
              </a:r>
            </a:p>
          </xdr:txBody>
        </xdr:sp>
        <xdr:sp macro="[0]!RRR" textlink="Category_Map!K1">
          <xdr:nvSpPr>
            <xdr:cNvPr id="18" name="Rectangle: Rounded Corners 17">
              <a:extLst>
                <a:ext uri="{FF2B5EF4-FFF2-40B4-BE49-F238E27FC236}">
                  <a16:creationId xmlns:a16="http://schemas.microsoft.com/office/drawing/2014/main" id="{DE60C957-D783-49D4-8B2E-4B132419186E}"/>
                </a:ext>
              </a:extLst>
            </xdr:cNvPr>
            <xdr:cNvSpPr/>
          </xdr:nvSpPr>
          <xdr:spPr>
            <a:xfrm>
              <a:off x="6298595" y="2878667"/>
              <a:ext cx="2606523" cy="1217716"/>
            </a:xfrm>
            <a:prstGeom prst="roundRect">
              <a:avLst/>
            </a:prstGeom>
            <a:gradFill>
              <a:gsLst>
                <a:gs pos="0">
                  <a:srgbClr val="FF0000">
                    <a:alpha val="50000"/>
                  </a:srgb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0" scaled="0"/>
            </a:gradFill>
            <a:ln>
              <a:noFill/>
            </a:ln>
            <a:effectLst>
              <a:glow rad="101600">
                <a:schemeClr val="accent2">
                  <a:satMod val="175000"/>
                  <a:alpha val="40000"/>
                </a:schemeClr>
              </a:glow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8866D690-7139-49E9-8960-EE19C91C9FFF}" type="TxLink">
                <a:rPr lang="en-US" sz="3000" b="0" i="0" u="none" strike="noStrike">
                  <a:solidFill>
                    <a:srgbClr val="000000"/>
                  </a:solidFill>
                  <a:latin typeface="Arial Black" panose="020B0A04020102020204" pitchFamily="34" charset="0"/>
                  <a:cs typeface="Arial"/>
                </a:rPr>
                <a:pPr algn="ctr"/>
                <a:t>REFRESH ALL</a:t>
              </a:fld>
              <a:endParaRPr lang="en-US" sz="3000" b="1">
                <a:latin typeface="Arial Black" panose="020B0A04020102020204" pitchFamily="34" charset="0"/>
              </a:endParaRPr>
            </a:p>
          </xdr:txBody>
        </xdr:sp>
        <xdr:graphicFrame macro="">
          <xdr:nvGraphicFramePr>
            <xdr:cNvPr id="22" name="Chart 21">
              <a:extLst>
                <a:ext uri="{FF2B5EF4-FFF2-40B4-BE49-F238E27FC236}">
                  <a16:creationId xmlns:a16="http://schemas.microsoft.com/office/drawing/2014/main" id="{CADA6473-55C1-4C92-A613-1DBD13A04D73}"/>
                </a:ext>
              </a:extLst>
            </xdr:cNvPr>
            <xdr:cNvGraphicFramePr>
              <a:graphicFrameLocks/>
            </xdr:cNvGraphicFramePr>
          </xdr:nvGraphicFramePr>
          <xdr:xfrm>
            <a:off x="6263409" y="5016500"/>
            <a:ext cx="2505365" cy="3527137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7"/>
            </a:graphicData>
          </a:graphic>
        </xdr:graphicFrame>
      </xdr:grpSp>
      <xdr:graphicFrame macro="">
        <xdr:nvGraphicFramePr>
          <xdr:cNvPr id="39" name="Chart 38">
            <a:extLst>
              <a:ext uri="{FF2B5EF4-FFF2-40B4-BE49-F238E27FC236}">
                <a16:creationId xmlns:a16="http://schemas.microsoft.com/office/drawing/2014/main" id="{39CD8553-27D6-493C-AAF1-484B716C0535}"/>
              </a:ext>
            </a:extLst>
          </xdr:cNvPr>
          <xdr:cNvGraphicFramePr>
            <a:graphicFrameLocks/>
          </xdr:cNvGraphicFramePr>
        </xdr:nvGraphicFramePr>
        <xdr:xfrm>
          <a:off x="32515208" y="5480539"/>
          <a:ext cx="9137303" cy="162322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 editAs="oneCell">
    <xdr:from>
      <xdr:col>59</xdr:col>
      <xdr:colOff>190500</xdr:colOff>
      <xdr:row>25</xdr:row>
      <xdr:rowOff>71438</xdr:rowOff>
    </xdr:from>
    <xdr:to>
      <xdr:col>101</xdr:col>
      <xdr:colOff>47625</xdr:colOff>
      <xdr:row>37</xdr:row>
      <xdr:rowOff>47626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8" name="Date Resolved 1">
              <a:extLst>
                <a:ext uri="{FF2B5EF4-FFF2-40B4-BE49-F238E27FC236}">
                  <a16:creationId xmlns:a16="http://schemas.microsoft.com/office/drawing/2014/main" id="{67406260-5FEA-42A2-916B-6137E1A23BA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Resolved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6718875" y="4238626"/>
              <a:ext cx="25860375" cy="19764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>
    <xdr:from>
      <xdr:col>38</xdr:col>
      <xdr:colOff>245175</xdr:colOff>
      <xdr:row>11</xdr:row>
      <xdr:rowOff>142875</xdr:rowOff>
    </xdr:from>
    <xdr:to>
      <xdr:col>101</xdr:col>
      <xdr:colOff>415768</xdr:colOff>
      <xdr:row>139</xdr:row>
      <xdr:rowOff>150968</xdr:rowOff>
    </xdr:to>
    <xdr:grpSp>
      <xdr:nvGrpSpPr>
        <xdr:cNvPr id="86" name="Group 85">
          <a:extLst>
            <a:ext uri="{FF2B5EF4-FFF2-40B4-BE49-F238E27FC236}">
              <a16:creationId xmlns:a16="http://schemas.microsoft.com/office/drawing/2014/main" id="{96E22FEC-F09C-0C20-E785-650FED1DB336}"/>
            </a:ext>
          </a:extLst>
        </xdr:cNvPr>
        <xdr:cNvGrpSpPr/>
      </xdr:nvGrpSpPr>
      <xdr:grpSpPr>
        <a:xfrm>
          <a:off x="23409975" y="2028825"/>
          <a:ext cx="38575393" cy="21953693"/>
          <a:chOff x="23890988" y="1857375"/>
          <a:chExt cx="39175468" cy="21344093"/>
        </a:xfrm>
      </xdr:grpSpPr>
      <xdr:grpSp>
        <xdr:nvGrpSpPr>
          <xdr:cNvPr id="41" name="Group 40">
            <a:extLst>
              <a:ext uri="{FF2B5EF4-FFF2-40B4-BE49-F238E27FC236}">
                <a16:creationId xmlns:a16="http://schemas.microsoft.com/office/drawing/2014/main" id="{5D14C8FE-1F9B-6E0A-7F71-6FACA7D73729}"/>
              </a:ext>
            </a:extLst>
          </xdr:cNvPr>
          <xdr:cNvGrpSpPr/>
        </xdr:nvGrpSpPr>
        <xdr:grpSpPr>
          <a:xfrm>
            <a:off x="23890988" y="1857375"/>
            <a:ext cx="39175468" cy="21344093"/>
            <a:chOff x="2696724" y="595198"/>
            <a:chExt cx="38955787" cy="21507863"/>
          </a:xfrm>
        </xdr:grpSpPr>
        <xdr:grpSp>
          <xdr:nvGrpSpPr>
            <xdr:cNvPr id="46" name="Group 45">
              <a:extLst>
                <a:ext uri="{FF2B5EF4-FFF2-40B4-BE49-F238E27FC236}">
                  <a16:creationId xmlns:a16="http://schemas.microsoft.com/office/drawing/2014/main" id="{954524A8-CEC1-61B5-B3C5-4257C988B3C4}"/>
                </a:ext>
              </a:extLst>
            </xdr:cNvPr>
            <xdr:cNvGrpSpPr/>
          </xdr:nvGrpSpPr>
          <xdr:grpSpPr>
            <a:xfrm>
              <a:off x="2696724" y="595198"/>
              <a:ext cx="38893083" cy="21507863"/>
              <a:chOff x="6092977" y="1416991"/>
              <a:chExt cx="21349606" cy="7705608"/>
            </a:xfrm>
          </xdr:grpSpPr>
          <xdr:sp macro="" textlink="">
            <xdr:nvSpPr>
              <xdr:cNvPr id="48" name="Rectangle 47">
                <a:extLst>
                  <a:ext uri="{FF2B5EF4-FFF2-40B4-BE49-F238E27FC236}">
                    <a16:creationId xmlns:a16="http://schemas.microsoft.com/office/drawing/2014/main" id="{00B7611F-EFD6-2E6E-A540-875AB2DF2039}"/>
                  </a:ext>
                </a:extLst>
              </xdr:cNvPr>
              <xdr:cNvSpPr/>
            </xdr:nvSpPr>
            <xdr:spPr>
              <a:xfrm>
                <a:off x="6092977" y="1450822"/>
                <a:ext cx="21349606" cy="7671777"/>
              </a:xfrm>
              <a:prstGeom prst="rect">
                <a:avLst/>
              </a:prstGeom>
              <a:solidFill>
                <a:schemeClr val="bg1"/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49" name="Rectangle: Diagonal Corners Rounded 48">
                <a:extLst>
                  <a:ext uri="{FF2B5EF4-FFF2-40B4-BE49-F238E27FC236}">
                    <a16:creationId xmlns:a16="http://schemas.microsoft.com/office/drawing/2014/main" id="{1B2ED61A-B75A-966E-901D-B07252669CD5}"/>
                  </a:ext>
                </a:extLst>
              </xdr:cNvPr>
              <xdr:cNvSpPr/>
            </xdr:nvSpPr>
            <xdr:spPr>
              <a:xfrm flipH="1">
                <a:off x="6143622" y="1469570"/>
                <a:ext cx="2984869" cy="7623025"/>
              </a:xfrm>
              <a:prstGeom prst="round2DiagRect">
                <a:avLst>
                  <a:gd name="adj1" fmla="val 16667"/>
                  <a:gd name="adj2" fmla="val 0"/>
                </a:avLst>
              </a:prstGeom>
              <a:solidFill>
                <a:srgbClr val="A118B8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grpSp>
            <xdr:nvGrpSpPr>
              <xdr:cNvPr id="50" name="Group 49">
                <a:extLst>
                  <a:ext uri="{FF2B5EF4-FFF2-40B4-BE49-F238E27FC236}">
                    <a16:creationId xmlns:a16="http://schemas.microsoft.com/office/drawing/2014/main" id="{A6357463-A378-E098-5726-EF1DDABE3B19}"/>
                  </a:ext>
                </a:extLst>
              </xdr:cNvPr>
              <xdr:cNvGrpSpPr/>
            </xdr:nvGrpSpPr>
            <xdr:grpSpPr>
              <a:xfrm>
                <a:off x="9152006" y="1437376"/>
                <a:ext cx="3671802" cy="958190"/>
                <a:chOff x="9373810" y="1455520"/>
                <a:chExt cx="3527895" cy="931731"/>
              </a:xfrm>
            </xdr:grpSpPr>
            <xdr:sp macro="" textlink="">
              <xdr:nvSpPr>
                <xdr:cNvPr id="82" name="Rectangle: Rounded Corners 81">
                  <a:extLst>
                    <a:ext uri="{FF2B5EF4-FFF2-40B4-BE49-F238E27FC236}">
                      <a16:creationId xmlns:a16="http://schemas.microsoft.com/office/drawing/2014/main" id="{70DBFAFC-FEEF-AEF1-F2BC-F0BDA404944A}"/>
                    </a:ext>
                  </a:extLst>
                </xdr:cNvPr>
                <xdr:cNvSpPr/>
              </xdr:nvSpPr>
              <xdr:spPr>
                <a:xfrm>
                  <a:off x="9373810" y="1477933"/>
                  <a:ext cx="3527895" cy="903940"/>
                </a:xfrm>
                <a:prstGeom prst="roundRect">
                  <a:avLst/>
                </a:prstGeom>
                <a:solidFill>
                  <a:schemeClr val="accent1">
                    <a:lumMod val="20000"/>
                    <a:lumOff val="80000"/>
                  </a:schemeClr>
                </a:solidFill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  <xdr:sp macro="" textlink="Analysis!B3">
              <xdr:nvSpPr>
                <xdr:cNvPr id="83" name="TextBox 82">
                  <a:extLst>
                    <a:ext uri="{FF2B5EF4-FFF2-40B4-BE49-F238E27FC236}">
                      <a16:creationId xmlns:a16="http://schemas.microsoft.com/office/drawing/2014/main" id="{B0B90144-C06C-4A0E-41C7-C97BD58DEAD4}"/>
                    </a:ext>
                  </a:extLst>
                </xdr:cNvPr>
                <xdr:cNvSpPr txBox="1"/>
              </xdr:nvSpPr>
              <xdr:spPr>
                <a:xfrm>
                  <a:off x="11602535" y="1896284"/>
                  <a:ext cx="1283483" cy="49096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fld id="{62FE5B79-6B53-470D-9DD7-3DAD64DA5C21}" type="TxLink">
                    <a:rPr lang="en-US" sz="5000" b="1" i="0" u="none" strike="noStrike">
                      <a:solidFill>
                        <a:srgbClr val="000000"/>
                      </a:solidFill>
                      <a:latin typeface="Arial Black" panose="020B0A04020102020204" pitchFamily="34" charset="0"/>
                      <a:cs typeface="Arial"/>
                    </a:rPr>
                    <a:pPr algn="ctr"/>
                    <a:t>969</a:t>
                  </a:fld>
                  <a:endParaRPr lang="en-US" sz="5000" b="1">
                    <a:latin typeface="Arial Black" panose="020B0A04020102020204" pitchFamily="34" charset="0"/>
                  </a:endParaRPr>
                </a:p>
              </xdr:txBody>
            </xdr:sp>
            <xdr:sp macro="" textlink="">
              <xdr:nvSpPr>
                <xdr:cNvPr id="84" name="TextBox 83">
                  <a:extLst>
                    <a:ext uri="{FF2B5EF4-FFF2-40B4-BE49-F238E27FC236}">
                      <a16:creationId xmlns:a16="http://schemas.microsoft.com/office/drawing/2014/main" id="{6050D611-B1EC-CA07-FDB6-845008A16235}"/>
                    </a:ext>
                  </a:extLst>
                </xdr:cNvPr>
                <xdr:cNvSpPr txBox="1"/>
              </xdr:nvSpPr>
              <xdr:spPr>
                <a:xfrm>
                  <a:off x="9506665" y="1455520"/>
                  <a:ext cx="1620055" cy="44830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en-US" sz="2800" b="1">
                      <a:latin typeface="Segoe UI Black" panose="020B0A02040204020203" pitchFamily="34" charset="0"/>
                      <a:ea typeface="Segoe UI Black" panose="020B0A02040204020203" pitchFamily="34" charset="0"/>
                    </a:rPr>
                    <a:t>Total</a:t>
                  </a:r>
                  <a:r>
                    <a:rPr lang="en-US" sz="2800" b="1" baseline="0">
                      <a:latin typeface="Segoe UI Black" panose="020B0A02040204020203" pitchFamily="34" charset="0"/>
                      <a:ea typeface="Segoe UI Black" panose="020B0A02040204020203" pitchFamily="34" charset="0"/>
                    </a:rPr>
                    <a:t> T</a:t>
                  </a:r>
                  <a:r>
                    <a:rPr lang="en-US" sz="2800" b="1">
                      <a:latin typeface="Segoe UI Black" panose="020B0A02040204020203" pitchFamily="34" charset="0"/>
                      <a:ea typeface="Segoe UI Black" panose="020B0A02040204020203" pitchFamily="34" charset="0"/>
                    </a:rPr>
                    <a:t>ickets</a:t>
                  </a:r>
                </a:p>
              </xdr:txBody>
            </xdr:sp>
          </xdr:grpSp>
          <xdr:grpSp>
            <xdr:nvGrpSpPr>
              <xdr:cNvPr id="51" name="Group 50">
                <a:extLst>
                  <a:ext uri="{FF2B5EF4-FFF2-40B4-BE49-F238E27FC236}">
                    <a16:creationId xmlns:a16="http://schemas.microsoft.com/office/drawing/2014/main" id="{1BF3C8AB-A806-D298-9A1C-A9E95FF13C36}"/>
                  </a:ext>
                </a:extLst>
              </xdr:cNvPr>
              <xdr:cNvGrpSpPr/>
            </xdr:nvGrpSpPr>
            <xdr:grpSpPr>
              <a:xfrm>
                <a:off x="9173273" y="2485126"/>
                <a:ext cx="3667235" cy="3689537"/>
                <a:chOff x="3421380" y="1363980"/>
                <a:chExt cx="3552692" cy="2400300"/>
              </a:xfrm>
            </xdr:grpSpPr>
            <xdr:sp macro="" textlink="">
              <xdr:nvSpPr>
                <xdr:cNvPr id="79" name="Rectangle: Rounded Corners 78">
                  <a:extLst>
                    <a:ext uri="{FF2B5EF4-FFF2-40B4-BE49-F238E27FC236}">
                      <a16:creationId xmlns:a16="http://schemas.microsoft.com/office/drawing/2014/main" id="{A4954C2C-16FF-C686-4399-26BA1A140F41}"/>
                    </a:ext>
                  </a:extLst>
                </xdr:cNvPr>
                <xdr:cNvSpPr/>
              </xdr:nvSpPr>
              <xdr:spPr>
                <a:xfrm>
                  <a:off x="3421380" y="1363980"/>
                  <a:ext cx="3543300" cy="2400300"/>
                </a:xfrm>
                <a:prstGeom prst="roundRect">
                  <a:avLst>
                    <a:gd name="adj" fmla="val 5238"/>
                  </a:avLst>
                </a:prstGeom>
                <a:solidFill>
                  <a:schemeClr val="accent1">
                    <a:lumMod val="20000"/>
                    <a:lumOff val="80000"/>
                  </a:schemeClr>
                </a:solidFill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  <xdr:sp macro="" textlink="">
              <xdr:nvSpPr>
                <xdr:cNvPr id="80" name="TextBox 79">
                  <a:extLst>
                    <a:ext uri="{FF2B5EF4-FFF2-40B4-BE49-F238E27FC236}">
                      <a16:creationId xmlns:a16="http://schemas.microsoft.com/office/drawing/2014/main" id="{7085D730-57A1-4150-87B1-1A44CF443954}"/>
                    </a:ext>
                  </a:extLst>
                </xdr:cNvPr>
                <xdr:cNvSpPr txBox="1"/>
              </xdr:nvSpPr>
              <xdr:spPr>
                <a:xfrm>
                  <a:off x="3474720" y="1394460"/>
                  <a:ext cx="3499352" cy="34275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l"/>
                  <a:r>
                    <a:rPr lang="en-US" sz="2800" b="1">
                      <a:solidFill>
                        <a:schemeClr val="dk1"/>
                      </a:solidFill>
                      <a:latin typeface="Segoe UI Black" panose="020B0A02040204020203" pitchFamily="34" charset="0"/>
                      <a:ea typeface="Segoe UI Black" panose="020B0A02040204020203" pitchFamily="34" charset="0"/>
                      <a:cs typeface="+mn-cs"/>
                    </a:rPr>
                    <a:t>Unresolved Tickets by Priority</a:t>
                  </a:r>
                </a:p>
              </xdr:txBody>
            </xdr:sp>
            <xdr:graphicFrame macro="">
              <xdr:nvGraphicFramePr>
                <xdr:cNvPr id="81" name="Chart 80">
                  <a:extLst>
                    <a:ext uri="{FF2B5EF4-FFF2-40B4-BE49-F238E27FC236}">
                      <a16:creationId xmlns:a16="http://schemas.microsoft.com/office/drawing/2014/main" id="{EB842009-CFDD-0F6F-0232-39C3A51DDB98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3467100" y="1645920"/>
                <a:ext cx="3444240" cy="1927860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9"/>
                </a:graphicData>
              </a:graphic>
            </xdr:graphicFrame>
          </xdr:grpSp>
          <xdr:grpSp>
            <xdr:nvGrpSpPr>
              <xdr:cNvPr id="52" name="Group 51">
                <a:extLst>
                  <a:ext uri="{FF2B5EF4-FFF2-40B4-BE49-F238E27FC236}">
                    <a16:creationId xmlns:a16="http://schemas.microsoft.com/office/drawing/2014/main" id="{F8EB9377-CCC6-EFDF-16F7-D75C051D6274}"/>
                  </a:ext>
                </a:extLst>
              </xdr:cNvPr>
              <xdr:cNvGrpSpPr/>
            </xdr:nvGrpSpPr>
            <xdr:grpSpPr>
              <a:xfrm>
                <a:off x="12988031" y="3150009"/>
                <a:ext cx="4677672" cy="2992606"/>
                <a:chOff x="7228012" y="1348533"/>
                <a:chExt cx="3553933" cy="2423720"/>
              </a:xfrm>
            </xdr:grpSpPr>
            <xdr:sp macro="" textlink="">
              <xdr:nvSpPr>
                <xdr:cNvPr id="76" name="Rectangle: Rounded Corners 75">
                  <a:extLst>
                    <a:ext uri="{FF2B5EF4-FFF2-40B4-BE49-F238E27FC236}">
                      <a16:creationId xmlns:a16="http://schemas.microsoft.com/office/drawing/2014/main" id="{289BE479-F072-AE8D-8246-6B741C9D0439}"/>
                    </a:ext>
                  </a:extLst>
                </xdr:cNvPr>
                <xdr:cNvSpPr/>
              </xdr:nvSpPr>
              <xdr:spPr>
                <a:xfrm>
                  <a:off x="7228012" y="1362031"/>
                  <a:ext cx="3553933" cy="2410222"/>
                </a:xfrm>
                <a:prstGeom prst="roundRect">
                  <a:avLst>
                    <a:gd name="adj" fmla="val 5238"/>
                  </a:avLst>
                </a:prstGeom>
                <a:solidFill>
                  <a:schemeClr val="accent1">
                    <a:lumMod val="20000"/>
                    <a:lumOff val="80000"/>
                  </a:schemeClr>
                </a:solidFill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  <xdr:sp macro="" textlink="">
              <xdr:nvSpPr>
                <xdr:cNvPr id="77" name="TextBox 76">
                  <a:extLst>
                    <a:ext uri="{FF2B5EF4-FFF2-40B4-BE49-F238E27FC236}">
                      <a16:creationId xmlns:a16="http://schemas.microsoft.com/office/drawing/2014/main" id="{54F5FF59-A07B-337C-F431-C0991305DE2A}"/>
                    </a:ext>
                  </a:extLst>
                </xdr:cNvPr>
                <xdr:cNvSpPr txBox="1"/>
              </xdr:nvSpPr>
              <xdr:spPr>
                <a:xfrm>
                  <a:off x="7327620" y="1381216"/>
                  <a:ext cx="2401249" cy="28007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l"/>
                  <a:r>
                    <a:rPr lang="en-US" sz="2800" b="1">
                      <a:solidFill>
                        <a:schemeClr val="dk1"/>
                      </a:solidFill>
                      <a:latin typeface="Segoe UI Black" panose="020B0A02040204020203" pitchFamily="34" charset="0"/>
                      <a:ea typeface="Segoe UI Black" panose="020B0A02040204020203" pitchFamily="34" charset="0"/>
                      <a:cs typeface="+mn-cs"/>
                    </a:rPr>
                    <a:t>Unresolved Tickets by Status</a:t>
                  </a:r>
                </a:p>
                <a:p>
                  <a:pPr marL="0" indent="0" algn="l"/>
                  <a:endParaRPr lang="en-US" sz="2800" b="1">
                    <a:solidFill>
                      <a:schemeClr val="dk1"/>
                    </a:solidFill>
                    <a:latin typeface="Segoe UI Black" panose="020B0A02040204020203" pitchFamily="34" charset="0"/>
                    <a:ea typeface="Segoe UI Black" panose="020B0A02040204020203" pitchFamily="34" charset="0"/>
                    <a:cs typeface="+mn-cs"/>
                  </a:endParaRPr>
                </a:p>
              </xdr:txBody>
            </xdr:sp>
            <xdr:graphicFrame macro="">
              <xdr:nvGraphicFramePr>
                <xdr:cNvPr id="78" name="Chart 77">
                  <a:extLst>
                    <a:ext uri="{FF2B5EF4-FFF2-40B4-BE49-F238E27FC236}">
                      <a16:creationId xmlns:a16="http://schemas.microsoft.com/office/drawing/2014/main" id="{9DE470E1-5561-8850-A445-3CD3187B36A4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7255242" y="1348533"/>
                <a:ext cx="3426174" cy="2412949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10"/>
                </a:graphicData>
              </a:graphic>
            </xdr:graphicFrame>
          </xdr:grpSp>
          <xdr:grpSp>
            <xdr:nvGrpSpPr>
              <xdr:cNvPr id="53" name="Group 52">
                <a:extLst>
                  <a:ext uri="{FF2B5EF4-FFF2-40B4-BE49-F238E27FC236}">
                    <a16:creationId xmlns:a16="http://schemas.microsoft.com/office/drawing/2014/main" id="{51F01D14-5594-1F2A-9019-555501CB9540}"/>
                  </a:ext>
                </a:extLst>
              </xdr:cNvPr>
              <xdr:cNvGrpSpPr/>
            </xdr:nvGrpSpPr>
            <xdr:grpSpPr>
              <a:xfrm>
                <a:off x="9207203" y="6327863"/>
                <a:ext cx="3657540" cy="2701521"/>
                <a:chOff x="3322945" y="3584282"/>
                <a:chExt cx="3516406" cy="2423738"/>
              </a:xfrm>
            </xdr:grpSpPr>
            <xdr:sp macro="" textlink="">
              <xdr:nvSpPr>
                <xdr:cNvPr id="73" name="Rectangle: Rounded Corners 72">
                  <a:extLst>
                    <a:ext uri="{FF2B5EF4-FFF2-40B4-BE49-F238E27FC236}">
                      <a16:creationId xmlns:a16="http://schemas.microsoft.com/office/drawing/2014/main" id="{331A1925-D6C0-29DF-38ED-4BB51CA9DC07}"/>
                    </a:ext>
                  </a:extLst>
                </xdr:cNvPr>
                <xdr:cNvSpPr/>
              </xdr:nvSpPr>
              <xdr:spPr>
                <a:xfrm>
                  <a:off x="3322945" y="3601445"/>
                  <a:ext cx="3516406" cy="2406575"/>
                </a:xfrm>
                <a:prstGeom prst="roundRect">
                  <a:avLst>
                    <a:gd name="adj" fmla="val 5238"/>
                  </a:avLst>
                </a:prstGeom>
                <a:solidFill>
                  <a:schemeClr val="accent1">
                    <a:lumMod val="20000"/>
                    <a:lumOff val="80000"/>
                  </a:schemeClr>
                </a:solidFill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  <xdr:graphicFrame macro="">
              <xdr:nvGraphicFramePr>
                <xdr:cNvPr id="74" name="Chart 73">
                  <a:extLst>
                    <a:ext uri="{FF2B5EF4-FFF2-40B4-BE49-F238E27FC236}">
                      <a16:creationId xmlns:a16="http://schemas.microsoft.com/office/drawing/2014/main" id="{86DFC1B6-3552-5D67-B69F-EDBCD43C415B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3533525" y="3902755"/>
                <a:ext cx="3123689" cy="1905829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11"/>
                </a:graphicData>
              </a:graphic>
            </xdr:graphicFrame>
            <xdr:sp macro="" textlink="">
              <xdr:nvSpPr>
                <xdr:cNvPr id="75" name="TextBox 74">
                  <a:extLst>
                    <a:ext uri="{FF2B5EF4-FFF2-40B4-BE49-F238E27FC236}">
                      <a16:creationId xmlns:a16="http://schemas.microsoft.com/office/drawing/2014/main" id="{D9E3B73C-6C3A-960F-E668-06D5EACBA57B}"/>
                    </a:ext>
                  </a:extLst>
                </xdr:cNvPr>
                <xdr:cNvSpPr txBox="1"/>
              </xdr:nvSpPr>
              <xdr:spPr>
                <a:xfrm>
                  <a:off x="3361893" y="3584282"/>
                  <a:ext cx="3393527" cy="468088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l"/>
                  <a:r>
                    <a:rPr lang="en-US" sz="2800" b="1">
                      <a:solidFill>
                        <a:schemeClr val="dk1"/>
                      </a:solidFill>
                      <a:latin typeface="Segoe UI Black" panose="020B0A02040204020203" pitchFamily="34" charset="0"/>
                      <a:ea typeface="Segoe UI Black" panose="020B0A02040204020203" pitchFamily="34" charset="0"/>
                      <a:cs typeface="+mn-cs"/>
                    </a:rPr>
                    <a:t>Tickets Resolved by Assigned to</a:t>
                  </a:r>
                </a:p>
              </xdr:txBody>
            </xdr:sp>
          </xdr:grpSp>
          <xdr:grpSp>
            <xdr:nvGrpSpPr>
              <xdr:cNvPr id="54" name="Group 53">
                <a:extLst>
                  <a:ext uri="{FF2B5EF4-FFF2-40B4-BE49-F238E27FC236}">
                    <a16:creationId xmlns:a16="http://schemas.microsoft.com/office/drawing/2014/main" id="{C7ABAEE4-F180-0517-3BAE-849922611690}"/>
                  </a:ext>
                </a:extLst>
              </xdr:cNvPr>
              <xdr:cNvGrpSpPr/>
            </xdr:nvGrpSpPr>
            <xdr:grpSpPr>
              <a:xfrm>
                <a:off x="13081259" y="6274869"/>
                <a:ext cx="4613674" cy="2717068"/>
                <a:chOff x="7031784" y="3623655"/>
                <a:chExt cx="3516406" cy="2406575"/>
              </a:xfrm>
            </xdr:grpSpPr>
            <xdr:sp macro="" textlink="">
              <xdr:nvSpPr>
                <xdr:cNvPr id="70" name="Rectangle: Rounded Corners 69">
                  <a:extLst>
                    <a:ext uri="{FF2B5EF4-FFF2-40B4-BE49-F238E27FC236}">
                      <a16:creationId xmlns:a16="http://schemas.microsoft.com/office/drawing/2014/main" id="{77586F2B-9299-427E-07ED-04657B5C3DD1}"/>
                    </a:ext>
                  </a:extLst>
                </xdr:cNvPr>
                <xdr:cNvSpPr/>
              </xdr:nvSpPr>
              <xdr:spPr>
                <a:xfrm>
                  <a:off x="7031784" y="3623655"/>
                  <a:ext cx="3516406" cy="2406575"/>
                </a:xfrm>
                <a:prstGeom prst="roundRect">
                  <a:avLst>
                    <a:gd name="adj" fmla="val 5238"/>
                  </a:avLst>
                </a:prstGeom>
                <a:solidFill>
                  <a:srgbClr val="D9E7FD"/>
                </a:solidFill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  <xdr:graphicFrame macro="">
              <xdr:nvGraphicFramePr>
                <xdr:cNvPr id="71" name="Chart 70">
                  <a:extLst>
                    <a:ext uri="{FF2B5EF4-FFF2-40B4-BE49-F238E27FC236}">
                      <a16:creationId xmlns:a16="http://schemas.microsoft.com/office/drawing/2014/main" id="{93E2D036-2116-0512-4C5B-D0085EB3A84E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7098746" y="3920247"/>
                <a:ext cx="3434060" cy="1950430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12"/>
                </a:graphicData>
              </a:graphic>
            </xdr:graphicFrame>
            <xdr:sp macro="" textlink="">
              <xdr:nvSpPr>
                <xdr:cNvPr id="72" name="TextBox 71">
                  <a:extLst>
                    <a:ext uri="{FF2B5EF4-FFF2-40B4-BE49-F238E27FC236}">
                      <a16:creationId xmlns:a16="http://schemas.microsoft.com/office/drawing/2014/main" id="{D98C948D-B0F8-8066-BE74-ACCFB930FC3F}"/>
                    </a:ext>
                  </a:extLst>
                </xdr:cNvPr>
                <xdr:cNvSpPr txBox="1"/>
              </xdr:nvSpPr>
              <xdr:spPr>
                <a:xfrm>
                  <a:off x="7063356" y="3652318"/>
                  <a:ext cx="2530481" cy="26908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l"/>
                  <a:r>
                    <a:rPr lang="en-US" sz="2800" b="1">
                      <a:solidFill>
                        <a:schemeClr val="dk1"/>
                      </a:solidFill>
                      <a:latin typeface="Segoe UI Black" panose="020B0A02040204020203" pitchFamily="34" charset="0"/>
                      <a:ea typeface="Segoe UI Black" panose="020B0A02040204020203" pitchFamily="34" charset="0"/>
                      <a:cs typeface="+mn-cs"/>
                    </a:rPr>
                    <a:t>Ticket by Account Type</a:t>
                  </a:r>
                </a:p>
              </xdr:txBody>
            </xdr:sp>
          </xdr:grpSp>
          <xdr:grpSp>
            <xdr:nvGrpSpPr>
              <xdr:cNvPr id="55" name="Group 54">
                <a:extLst>
                  <a:ext uri="{FF2B5EF4-FFF2-40B4-BE49-F238E27FC236}">
                    <a16:creationId xmlns:a16="http://schemas.microsoft.com/office/drawing/2014/main" id="{2A722F39-9C79-7E86-8A45-D3EA47AD06FE}"/>
                  </a:ext>
                </a:extLst>
              </xdr:cNvPr>
              <xdr:cNvGrpSpPr/>
            </xdr:nvGrpSpPr>
            <xdr:grpSpPr>
              <a:xfrm>
                <a:off x="17800851" y="6266794"/>
                <a:ext cx="4527369" cy="2762592"/>
                <a:chOff x="10905167" y="3534251"/>
                <a:chExt cx="3599132" cy="2534461"/>
              </a:xfrm>
            </xdr:grpSpPr>
            <xdr:sp macro="" textlink="">
              <xdr:nvSpPr>
                <xdr:cNvPr id="67" name="Rectangle: Rounded Corners 66">
                  <a:extLst>
                    <a:ext uri="{FF2B5EF4-FFF2-40B4-BE49-F238E27FC236}">
                      <a16:creationId xmlns:a16="http://schemas.microsoft.com/office/drawing/2014/main" id="{951B9CE1-BA39-BC62-61A8-5714FE472944}"/>
                    </a:ext>
                  </a:extLst>
                </xdr:cNvPr>
                <xdr:cNvSpPr/>
              </xdr:nvSpPr>
              <xdr:spPr>
                <a:xfrm>
                  <a:off x="10905167" y="3534251"/>
                  <a:ext cx="3599132" cy="2534461"/>
                </a:xfrm>
                <a:prstGeom prst="roundRect">
                  <a:avLst>
                    <a:gd name="adj" fmla="val 5238"/>
                  </a:avLst>
                </a:prstGeom>
                <a:solidFill>
                  <a:schemeClr val="accent1">
                    <a:lumMod val="20000"/>
                    <a:lumOff val="80000"/>
                  </a:schemeClr>
                </a:solidFill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  <xdr:graphicFrame macro="">
              <xdr:nvGraphicFramePr>
                <xdr:cNvPr id="68" name="Chart 67">
                  <a:extLst>
                    <a:ext uri="{FF2B5EF4-FFF2-40B4-BE49-F238E27FC236}">
                      <a16:creationId xmlns:a16="http://schemas.microsoft.com/office/drawing/2014/main" id="{BA857344-379F-2F79-2522-37BF544F35F8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11000975" y="3988493"/>
                <a:ext cx="3408345" cy="2017497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13"/>
                </a:graphicData>
              </a:graphic>
            </xdr:graphicFrame>
            <xdr:sp macro="" textlink="">
              <xdr:nvSpPr>
                <xdr:cNvPr id="69" name="TextBox 68">
                  <a:extLst>
                    <a:ext uri="{FF2B5EF4-FFF2-40B4-BE49-F238E27FC236}">
                      <a16:creationId xmlns:a16="http://schemas.microsoft.com/office/drawing/2014/main" id="{1F59817E-C793-6E95-8862-2E26ECD8A906}"/>
                    </a:ext>
                  </a:extLst>
                </xdr:cNvPr>
                <xdr:cNvSpPr txBox="1"/>
              </xdr:nvSpPr>
              <xdr:spPr>
                <a:xfrm>
                  <a:off x="10988937" y="3752369"/>
                  <a:ext cx="2527758" cy="154483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l"/>
                  <a:r>
                    <a:rPr lang="en-US" sz="2800" b="1">
                      <a:solidFill>
                        <a:schemeClr val="dk1"/>
                      </a:solidFill>
                      <a:latin typeface="Segoe UI Black" panose="020B0A02040204020203" pitchFamily="34" charset="0"/>
                      <a:ea typeface="Segoe UI Black" panose="020B0A02040204020203" pitchFamily="34" charset="0"/>
                      <a:cs typeface="+mn-cs"/>
                    </a:rPr>
                    <a:t>Ticket Created Over time</a:t>
                  </a:r>
                </a:p>
              </xdr:txBody>
            </xdr:sp>
          </xdr:grpSp>
          <xdr:grpSp>
            <xdr:nvGrpSpPr>
              <xdr:cNvPr id="56" name="Group 55">
                <a:extLst>
                  <a:ext uri="{FF2B5EF4-FFF2-40B4-BE49-F238E27FC236}">
                    <a16:creationId xmlns:a16="http://schemas.microsoft.com/office/drawing/2014/main" id="{CD7F87DC-1E57-5547-128C-8568823C5C40}"/>
                  </a:ext>
                </a:extLst>
              </xdr:cNvPr>
              <xdr:cNvGrpSpPr/>
            </xdr:nvGrpSpPr>
            <xdr:grpSpPr>
              <a:xfrm>
                <a:off x="17773226" y="3136857"/>
                <a:ext cx="4560299" cy="3082773"/>
                <a:chOff x="10753952" y="2591522"/>
                <a:chExt cx="4385092" cy="2596526"/>
              </a:xfrm>
            </xdr:grpSpPr>
            <xdr:sp macro="" textlink="">
              <xdr:nvSpPr>
                <xdr:cNvPr id="64" name="Rectangle: Rounded Corners 63">
                  <a:extLst>
                    <a:ext uri="{FF2B5EF4-FFF2-40B4-BE49-F238E27FC236}">
                      <a16:creationId xmlns:a16="http://schemas.microsoft.com/office/drawing/2014/main" id="{D60CE8A1-814A-A1B5-880B-A6D8B091DCA2}"/>
                    </a:ext>
                  </a:extLst>
                </xdr:cNvPr>
                <xdr:cNvSpPr/>
              </xdr:nvSpPr>
              <xdr:spPr>
                <a:xfrm>
                  <a:off x="10753952" y="2591522"/>
                  <a:ext cx="4385092" cy="2596526"/>
                </a:xfrm>
                <a:prstGeom prst="roundRect">
                  <a:avLst>
                    <a:gd name="adj" fmla="val 5238"/>
                  </a:avLst>
                </a:prstGeom>
                <a:solidFill>
                  <a:schemeClr val="accent1">
                    <a:lumMod val="20000"/>
                    <a:lumOff val="80000"/>
                  </a:schemeClr>
                </a:solidFill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  <xdr:graphicFrame macro="">
              <xdr:nvGraphicFramePr>
                <xdr:cNvPr id="65" name="Chart 64">
                  <a:extLst>
                    <a:ext uri="{FF2B5EF4-FFF2-40B4-BE49-F238E27FC236}">
                      <a16:creationId xmlns:a16="http://schemas.microsoft.com/office/drawing/2014/main" id="{30C1999C-D54C-8653-5FB7-D0F81409FB7F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10884865" y="2982249"/>
                <a:ext cx="4243820" cy="2186445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14"/>
                </a:graphicData>
              </a:graphic>
            </xdr:graphicFrame>
            <xdr:sp macro="" textlink="">
              <xdr:nvSpPr>
                <xdr:cNvPr id="66" name="TextBox 65">
                  <a:extLst>
                    <a:ext uri="{FF2B5EF4-FFF2-40B4-BE49-F238E27FC236}">
                      <a16:creationId xmlns:a16="http://schemas.microsoft.com/office/drawing/2014/main" id="{0AAEE229-63B4-2BA6-E856-3D649FE07E82}"/>
                    </a:ext>
                  </a:extLst>
                </xdr:cNvPr>
                <xdr:cNvSpPr txBox="1"/>
              </xdr:nvSpPr>
              <xdr:spPr>
                <a:xfrm>
                  <a:off x="10835417" y="2665946"/>
                  <a:ext cx="2715538" cy="242513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l"/>
                  <a:r>
                    <a:rPr lang="en-US" sz="2800" b="1">
                      <a:solidFill>
                        <a:schemeClr val="dk1"/>
                      </a:solidFill>
                      <a:latin typeface="Segoe UI Black" panose="020B0A02040204020203" pitchFamily="34" charset="0"/>
                      <a:ea typeface="Segoe UI Black" panose="020B0A02040204020203" pitchFamily="34" charset="0"/>
                      <a:cs typeface="+mn-cs"/>
                    </a:rPr>
                    <a:t>Ticket by Category</a:t>
                  </a:r>
                </a:p>
              </xdr:txBody>
            </xdr:sp>
          </xdr:grpSp>
          <xdr:grpSp>
            <xdr:nvGrpSpPr>
              <xdr:cNvPr id="57" name="Group 56">
                <a:extLst>
                  <a:ext uri="{FF2B5EF4-FFF2-40B4-BE49-F238E27FC236}">
                    <a16:creationId xmlns:a16="http://schemas.microsoft.com/office/drawing/2014/main" id="{373C4C54-84E7-37EC-DAD1-EA0F6AFD2ACA}"/>
                  </a:ext>
                </a:extLst>
              </xdr:cNvPr>
              <xdr:cNvGrpSpPr/>
            </xdr:nvGrpSpPr>
            <xdr:grpSpPr>
              <a:xfrm>
                <a:off x="13011492" y="1416991"/>
                <a:ext cx="14306025" cy="1710432"/>
                <a:chOff x="6914030" y="83328"/>
                <a:chExt cx="8282266" cy="1646406"/>
              </a:xfrm>
            </xdr:grpSpPr>
            <xdr:sp macro="" textlink="">
              <xdr:nvSpPr>
                <xdr:cNvPr id="62" name="Rectangle: Rounded Corners 61">
                  <a:extLst>
                    <a:ext uri="{FF2B5EF4-FFF2-40B4-BE49-F238E27FC236}">
                      <a16:creationId xmlns:a16="http://schemas.microsoft.com/office/drawing/2014/main" id="{23802B85-95B9-66F2-26EB-D19B854E1912}"/>
                    </a:ext>
                  </a:extLst>
                </xdr:cNvPr>
                <xdr:cNvSpPr/>
              </xdr:nvSpPr>
              <xdr:spPr>
                <a:xfrm>
                  <a:off x="6914030" y="105983"/>
                  <a:ext cx="8282266" cy="1623751"/>
                </a:xfrm>
                <a:prstGeom prst="roundRect">
                  <a:avLst>
                    <a:gd name="adj" fmla="val 8975"/>
                  </a:avLst>
                </a:prstGeom>
                <a:solidFill>
                  <a:schemeClr val="accent1">
                    <a:lumMod val="20000"/>
                    <a:lumOff val="80000"/>
                  </a:schemeClr>
                </a:solidFill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  <mc:AlternateContent xmlns:mc="http://schemas.openxmlformats.org/markup-compatibility/2006">
              <mc:Choice xmlns:tsle="http://schemas.microsoft.com/office/drawing/2012/timeslicer" Requires="tsle">
                <xdr:graphicFrame macro="">
                  <xdr:nvGraphicFramePr>
                    <xdr:cNvPr id="63" name="Date Created 2">
                      <a:extLst>
                        <a:ext uri="{FF2B5EF4-FFF2-40B4-BE49-F238E27FC236}">
                          <a16:creationId xmlns:a16="http://schemas.microsoft.com/office/drawing/2014/main" id="{3DA529FD-A27B-BF43-88FA-BA8AB8624FE2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75551" y="83328"/>
                    <a:ext cx="8217863" cy="828691"/>
                  </xdr:xfrm>
                  <a:graphic>
                    <a:graphicData uri="http://schemas.microsoft.com/office/drawing/2012/timeslicer">
                      <tsle:timeslicer xmlns:tsle="http://schemas.microsoft.com/office/drawing/2012/timeslicer" name="Date Created 2"/>
                    </a:graphicData>
                  </a:graphic>
                </xdr:graphicFrame>
              </mc:Choice>
              <mc:Fallback>
                <xdr:sp macro="" textlink="">
                  <xdr:nvSpPr>
                    <xdr:cNvPr id="0" name=""/>
                    <xdr:cNvSpPr>
                      <a:spLocks noTextEdit="1"/>
                    </xdr:cNvSpPr>
                  </xdr:nvSpPr>
                  <xdr:spPr>
                    <a:xfrm>
                      <a:off x="36082222" y="2028825"/>
                      <a:ext cx="25606462" cy="2452800"/>
                    </a:xfrm>
                    <a:prstGeom prst="rect">
                      <a:avLst/>
                    </a:prstGeom>
                    <a:solidFill>
                      <a:prstClr val="white"/>
                    </a:solidFill>
                    <a:ln w="1">
                      <a:solidFill>
                        <a:prstClr val="green"/>
                      </a:solidFill>
                    </a:ln>
                  </xdr:spPr>
                  <xdr:txBody>
                    <a:bodyPr vertOverflow="clip" horzOverflow="clip"/>
                    <a:lstStyle/>
                    <a:p>
                      <a:r>
                        <a:rPr lang="en-US" sz="1100"/>
                        <a:t>Timeline: Works in Excel 2013 or higher. Do not move or resize.</a:t>
                      </a:r>
                    </a:p>
                  </xdr:txBody>
                </xdr:sp>
              </mc:Fallback>
            </mc:AlternateContent>
          </xdr:grpSp>
          <xdr:sp macro="" textlink="">
            <xdr:nvSpPr>
              <xdr:cNvPr id="58" name="TextBox 57">
                <a:extLst>
                  <a:ext uri="{FF2B5EF4-FFF2-40B4-BE49-F238E27FC236}">
                    <a16:creationId xmlns:a16="http://schemas.microsoft.com/office/drawing/2014/main" id="{3BB03A8D-306B-010B-DF2E-0432CD63602C}"/>
                  </a:ext>
                </a:extLst>
              </xdr:cNvPr>
              <xdr:cNvSpPr txBox="1"/>
            </xdr:nvSpPr>
            <xdr:spPr>
              <a:xfrm>
                <a:off x="6130960" y="1530047"/>
                <a:ext cx="2970401" cy="68644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>
                <a:scene3d>
                  <a:camera prst="orthographicFront"/>
                  <a:lightRig rig="harsh" dir="t"/>
                </a:scene3d>
                <a:sp3d extrusionH="57150" prstMaterial="matte">
                  <a:bevelT w="63500" h="12700" prst="angle"/>
                  <a:contourClr>
                    <a:schemeClr val="bg1">
                      <a:lumMod val="65000"/>
                    </a:schemeClr>
                  </a:contourClr>
                </a:sp3d>
              </a:bodyPr>
              <a:lstStyle/>
              <a:p>
                <a:pPr algn="l"/>
                <a:r>
                  <a:rPr lang="en-US" sz="4000" b="1" cap="none" spc="0">
                    <a:ln/>
                    <a:solidFill>
                      <a:schemeClr val="bg1"/>
                    </a:solidFill>
                    <a:effectLst/>
                    <a:latin typeface="Segoe UI Black" panose="020B0A02040204020203" pitchFamily="34" charset="0"/>
                    <a:ea typeface="Segoe UI Black" panose="020B0A02040204020203" pitchFamily="34" charset="0"/>
                  </a:rPr>
                  <a:t>Customer Support Operations</a:t>
                </a:r>
              </a:p>
            </xdr:txBody>
          </xdr:sp>
          <xdr:sp macro="" textlink="">
            <xdr:nvSpPr>
              <xdr:cNvPr id="59" name="TextBox 58">
                <a:extLst>
                  <a:ext uri="{FF2B5EF4-FFF2-40B4-BE49-F238E27FC236}">
                    <a16:creationId xmlns:a16="http://schemas.microsoft.com/office/drawing/2014/main" id="{974DAF0B-5272-EC48-F8B6-A8D9BACACBA9}"/>
                  </a:ext>
                </a:extLst>
              </xdr:cNvPr>
              <xdr:cNvSpPr txBox="1"/>
            </xdr:nvSpPr>
            <xdr:spPr>
              <a:xfrm>
                <a:off x="6156282" y="2457197"/>
                <a:ext cx="2995723" cy="33680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endParaRPr lang="en-US" sz="3200">
                  <a:solidFill>
                    <a:schemeClr val="accent1">
                      <a:lumMod val="40000"/>
                      <a:lumOff val="60000"/>
                    </a:schemeClr>
                  </a:solidFill>
                  <a:latin typeface="Segoe UI Black" panose="020B0A02040204020203" pitchFamily="34" charset="0"/>
                  <a:ea typeface="Segoe UI Black" panose="020B0A02040204020203" pitchFamily="34" charset="0"/>
                </a:endParaRPr>
              </a:p>
            </xdr:txBody>
          </xdr:sp>
          <xdr:sp macro="[0]!RRR" textlink="Category_Map!K1">
            <xdr:nvSpPr>
              <xdr:cNvPr id="60" name="Rectangle: Rounded Corners 59">
                <a:extLst>
                  <a:ext uri="{FF2B5EF4-FFF2-40B4-BE49-F238E27FC236}">
                    <a16:creationId xmlns:a16="http://schemas.microsoft.com/office/drawing/2014/main" id="{FF8E1BBE-6879-2A64-1806-2F82620FF3F5}"/>
                  </a:ext>
                </a:extLst>
              </xdr:cNvPr>
              <xdr:cNvSpPr/>
            </xdr:nvSpPr>
            <xdr:spPr>
              <a:xfrm>
                <a:off x="6298595" y="2878667"/>
                <a:ext cx="2606523" cy="1217716"/>
              </a:xfrm>
              <a:prstGeom prst="roundRect">
                <a:avLst/>
              </a:prstGeom>
              <a:gradFill>
                <a:gsLst>
                  <a:gs pos="0">
                    <a:srgbClr val="FF0000">
                      <a:alpha val="50000"/>
                    </a:srgb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0" scaled="0"/>
              </a:gradFill>
              <a:ln>
                <a:noFill/>
              </a:ln>
              <a:effectLst>
                <a:glow rad="101600">
                  <a:schemeClr val="accent2">
                    <a:satMod val="175000"/>
                    <a:alpha val="40000"/>
                  </a:schemeClr>
                </a:glow>
                <a:outerShdw blurRad="44450" dist="27940" dir="5400000" algn="ctr">
                  <a:srgbClr val="000000">
                    <a:alpha val="32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balanced" dir="t">
                  <a:rot lat="0" lon="0" rev="8700000"/>
                </a:lightRig>
              </a:scene3d>
              <a:sp3d>
                <a:bevelT w="190500" h="38100"/>
              </a:sp3d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fld id="{8866D690-7139-49E9-8960-EE19C91C9FFF}" type="TxLink">
                  <a:rPr lang="en-US" sz="3000" b="0" i="0" u="none" strike="noStrike">
                    <a:solidFill>
                      <a:srgbClr val="000000"/>
                    </a:solidFill>
                    <a:latin typeface="Arial Black" panose="020B0A04020102020204" pitchFamily="34" charset="0"/>
                    <a:cs typeface="Arial"/>
                  </a:rPr>
                  <a:pPr algn="ctr"/>
                  <a:t>REFRESH ALL</a:t>
                </a:fld>
                <a:endParaRPr lang="en-US" sz="3000" b="1">
                  <a:latin typeface="Arial Black" panose="020B0A04020102020204" pitchFamily="34" charset="0"/>
                </a:endParaRPr>
              </a:p>
            </xdr:txBody>
          </xdr:sp>
          <xdr:graphicFrame macro="">
            <xdr:nvGraphicFramePr>
              <xdr:cNvPr id="61" name="Chart 60">
                <a:extLst>
                  <a:ext uri="{FF2B5EF4-FFF2-40B4-BE49-F238E27FC236}">
                    <a16:creationId xmlns:a16="http://schemas.microsoft.com/office/drawing/2014/main" id="{7DE20136-8096-249A-D824-3BE615E39DAD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263409" y="5016500"/>
              <a:ext cx="2505365" cy="3527137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5"/>
              </a:graphicData>
            </a:graphic>
          </xdr:graphicFrame>
        </xdr:grpSp>
        <xdr:graphicFrame macro="">
          <xdr:nvGraphicFramePr>
            <xdr:cNvPr id="47" name="Chart 46">
              <a:extLst>
                <a:ext uri="{FF2B5EF4-FFF2-40B4-BE49-F238E27FC236}">
                  <a16:creationId xmlns:a16="http://schemas.microsoft.com/office/drawing/2014/main" id="{2735FBCD-B037-2600-EC1F-438084A662A8}"/>
                </a:ext>
              </a:extLst>
            </xdr:cNvPr>
            <xdr:cNvGraphicFramePr>
              <a:graphicFrameLocks/>
            </xdr:cNvGraphicFramePr>
          </xdr:nvGraphicFramePr>
          <xdr:xfrm>
            <a:off x="32515208" y="5480539"/>
            <a:ext cx="9137303" cy="16232273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6"/>
            </a:graphicData>
          </a:graphic>
        </xdr:graphicFrame>
      </xdr:grpSp>
      <mc:AlternateContent xmlns:mc="http://schemas.openxmlformats.org/markup-compatibility/2006">
        <mc:Choice xmlns:tsle="http://schemas.microsoft.com/office/drawing/2012/timeslicer" Requires="tsle">
          <xdr:graphicFrame macro="">
            <xdr:nvGraphicFramePr>
              <xdr:cNvPr id="85" name="Date Resolved 2">
                <a:extLst>
                  <a:ext uri="{FF2B5EF4-FFF2-40B4-BE49-F238E27FC236}">
                    <a16:creationId xmlns:a16="http://schemas.microsoft.com/office/drawing/2014/main" id="{1BB9E59A-99FA-72B7-9157-94888C2F0FB8}"/>
                  </a:ext>
                </a:extLst>
              </xdr:cNvPr>
              <xdr:cNvGraphicFramePr/>
            </xdr:nvGraphicFramePr>
            <xdr:xfrm>
              <a:off x="36763395" y="4294189"/>
              <a:ext cx="25860375" cy="2245961"/>
            </xdr:xfrm>
            <a:graphic>
              <a:graphicData uri="http://schemas.microsoft.com/office/drawing/2012/timeslicer">
                <tsle:timeslicer xmlns:tsle="http://schemas.microsoft.com/office/drawing/2012/timeslicer" name="Date Resolved 2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6085207" y="4535236"/>
                <a:ext cx="25464256" cy="2310107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n-US" sz="1100"/>
                  <a:t>Timeline: Works in Excel 2013 or higher. Do not move or resize.</a:t>
                </a:r>
              </a:p>
            </xdr:txBody>
          </xdr:sp>
        </mc:Fallback>
      </mc:AlternateContent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0.00572</cdr:x>
      <cdr:y>0.00361</cdr:y>
    </cdr:from>
    <cdr:to>
      <cdr:x>0.77643</cdr:x>
      <cdr:y>0.05287</cdr:y>
    </cdr:to>
    <cdr:sp macro="" textlink="">
      <cdr:nvSpPr>
        <cdr:cNvPr id="2" name="TextBox 27">
          <a:extLst xmlns:a="http://schemas.openxmlformats.org/drawingml/2006/main">
            <a:ext uri="{FF2B5EF4-FFF2-40B4-BE49-F238E27FC236}">
              <a16:creationId xmlns:a16="http://schemas.microsoft.com/office/drawing/2014/main" id="{F036F808-74B3-4442-AD17-25D75072DB0C}"/>
            </a:ext>
          </a:extLst>
        </cdr:cNvPr>
        <cdr:cNvSpPr txBox="1"/>
      </cdr:nvSpPr>
      <cdr:spPr>
        <a:xfrm xmlns:a="http://schemas.openxmlformats.org/drawingml/2006/main">
          <a:off x="50800" y="54429"/>
          <a:ext cx="6848651" cy="7426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l"/>
          <a:r>
            <a:rPr lang="en-US" sz="2800" b="1">
              <a:solidFill>
                <a:schemeClr val="dk1"/>
              </a:solidFill>
              <a:latin typeface="Segoe UI Black" panose="020B0A02040204020203" pitchFamily="34" charset="0"/>
              <a:ea typeface="Segoe UI Black" panose="020B0A02040204020203" pitchFamily="34" charset="0"/>
              <a:cs typeface="+mn-cs"/>
            </a:rPr>
            <a:t>Tickets</a:t>
          </a:r>
          <a:r>
            <a:rPr lang="en-US" sz="2800" b="1" baseline="0">
              <a:solidFill>
                <a:schemeClr val="dk1"/>
              </a:solidFill>
              <a:latin typeface="Segoe UI Black" panose="020B0A02040204020203" pitchFamily="34" charset="0"/>
              <a:ea typeface="Segoe UI Black" panose="020B0A02040204020203" pitchFamily="34" charset="0"/>
              <a:cs typeface="+mn-cs"/>
            </a:rPr>
            <a:t> Resolved Over Time</a:t>
          </a:r>
          <a:endParaRPr lang="en-US" sz="2800" b="1">
            <a:solidFill>
              <a:schemeClr val="dk1"/>
            </a:solidFill>
            <a:latin typeface="Segoe UI Black" panose="020B0A02040204020203" pitchFamily="34" charset="0"/>
            <a:ea typeface="Segoe UI Black" panose="020B0A02040204020203" pitchFamily="34" charset="0"/>
            <a:cs typeface="+mn-cs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0.00572</cdr:x>
      <cdr:y>0.00361</cdr:y>
    </cdr:from>
    <cdr:to>
      <cdr:x>0.77643</cdr:x>
      <cdr:y>0.05287</cdr:y>
    </cdr:to>
    <cdr:sp macro="" textlink="">
      <cdr:nvSpPr>
        <cdr:cNvPr id="2" name="TextBox 27">
          <a:extLst xmlns:a="http://schemas.openxmlformats.org/drawingml/2006/main">
            <a:ext uri="{FF2B5EF4-FFF2-40B4-BE49-F238E27FC236}">
              <a16:creationId xmlns:a16="http://schemas.microsoft.com/office/drawing/2014/main" id="{F036F808-74B3-4442-AD17-25D75072DB0C}"/>
            </a:ext>
          </a:extLst>
        </cdr:cNvPr>
        <cdr:cNvSpPr txBox="1"/>
      </cdr:nvSpPr>
      <cdr:spPr>
        <a:xfrm xmlns:a="http://schemas.openxmlformats.org/drawingml/2006/main">
          <a:off x="50800" y="54429"/>
          <a:ext cx="6848651" cy="7426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l"/>
          <a:r>
            <a:rPr lang="en-US" sz="2800" b="1">
              <a:solidFill>
                <a:schemeClr val="dk1"/>
              </a:solidFill>
              <a:latin typeface="Segoe UI Black" panose="020B0A02040204020203" pitchFamily="34" charset="0"/>
              <a:ea typeface="Segoe UI Black" panose="020B0A02040204020203" pitchFamily="34" charset="0"/>
              <a:cs typeface="+mn-cs"/>
            </a:rPr>
            <a:t>Tickets</a:t>
          </a:r>
          <a:r>
            <a:rPr lang="en-US" sz="2800" b="1" baseline="0">
              <a:solidFill>
                <a:schemeClr val="dk1"/>
              </a:solidFill>
              <a:latin typeface="Segoe UI Black" panose="020B0A02040204020203" pitchFamily="34" charset="0"/>
              <a:ea typeface="Segoe UI Black" panose="020B0A02040204020203" pitchFamily="34" charset="0"/>
              <a:cs typeface="+mn-cs"/>
            </a:rPr>
            <a:t> Resolved Over Time</a:t>
          </a:r>
          <a:endParaRPr lang="en-US" sz="2800" b="1">
            <a:solidFill>
              <a:schemeClr val="dk1"/>
            </a:solidFill>
            <a:latin typeface="Segoe UI Black" panose="020B0A02040204020203" pitchFamily="34" charset="0"/>
            <a:ea typeface="Segoe UI Black" panose="020B0A02040204020203" pitchFamily="34" charset="0"/>
            <a:cs typeface="+mn-cs"/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145916</xdr:colOff>
      <xdr:row>0</xdr:row>
      <xdr:rowOff>64852</xdr:rowOff>
    </xdr:from>
    <xdr:to>
      <xdr:col>2</xdr:col>
      <xdr:colOff>599873</xdr:colOff>
      <xdr:row>3</xdr:row>
      <xdr:rowOff>89171</xdr:rowOff>
    </xdr:to>
    <xdr:sp macro="[0]!REFRESHALL" textlink="Category_Map!K1">
      <xdr:nvSpPr>
        <xdr:cNvPr id="2" name="Rectangle: Rounded Corners 1">
          <a:extLst>
            <a:ext uri="{FF2B5EF4-FFF2-40B4-BE49-F238E27FC236}">
              <a16:creationId xmlns:a16="http://schemas.microsoft.com/office/drawing/2014/main" id="{2065698E-674A-8471-B751-C5C7BACA5105}"/>
            </a:ext>
          </a:extLst>
        </xdr:cNvPr>
        <xdr:cNvSpPr/>
      </xdr:nvSpPr>
      <xdr:spPr>
        <a:xfrm>
          <a:off x="145916" y="64852"/>
          <a:ext cx="2034702" cy="632298"/>
        </a:xfrm>
        <a:prstGeom prst="roundRect">
          <a:avLst/>
        </a:prstGeom>
        <a:gradFill>
          <a:gsLst>
            <a:gs pos="0">
              <a:srgbClr val="FF0000">
                <a:alpha val="50000"/>
              </a:srgbClr>
            </a:gs>
            <a:gs pos="100000">
              <a:schemeClr val="accent1">
                <a:lumMod val="30000"/>
                <a:lumOff val="70000"/>
              </a:schemeClr>
            </a:gs>
          </a:gsLst>
          <a:lin ang="0" scaled="0"/>
        </a:gradFill>
        <a:ln>
          <a:noFill/>
        </a:ln>
        <a:effectLst>
          <a:glow rad="101600">
            <a:schemeClr val="accent2">
              <a:satMod val="175000"/>
              <a:alpha val="40000"/>
            </a:schemeClr>
          </a:glow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2E5DD77-6414-4773-A0CB-9978D0BE3BFE}" type="TxLink">
            <a:rPr lang="en-US" sz="1600" b="1" i="0" u="none" strike="noStrike">
              <a:solidFill>
                <a:srgbClr val="000000"/>
              </a:solidFill>
              <a:latin typeface="Elephant" panose="02020904090505020303" pitchFamily="18" charset="0"/>
              <a:cs typeface="Arial"/>
            </a:rPr>
            <a:pPr algn="ctr"/>
            <a:t>REFRESH ALL</a:t>
          </a:fld>
          <a:endParaRPr lang="en-US" sz="1600" b="1">
            <a:latin typeface="Elephant" panose="02020904090505020303" pitchFamily="18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175260</xdr:colOff>
      <xdr:row>22</xdr:row>
      <xdr:rowOff>160020</xdr:rowOff>
    </xdr:from>
    <xdr:to>
      <xdr:col>8</xdr:col>
      <xdr:colOff>411480</xdr:colOff>
      <xdr:row>34</xdr:row>
      <xdr:rowOff>106680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3FBB0EE-147E-3011-632C-1084D3F879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160020</xdr:colOff>
      <xdr:row>39</xdr:row>
      <xdr:rowOff>144780</xdr:rowOff>
    </xdr:from>
    <xdr:to>
      <xdr:col>9</xdr:col>
      <xdr:colOff>182880</xdr:colOff>
      <xdr:row>56</xdr:row>
      <xdr:rowOff>7620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7DD76DD-BF6D-82AD-2DC4-384684CBE9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390524</xdr:colOff>
      <xdr:row>60</xdr:row>
      <xdr:rowOff>95250</xdr:rowOff>
    </xdr:from>
    <xdr:to>
      <xdr:col>7</xdr:col>
      <xdr:colOff>76199</xdr:colOff>
      <xdr:row>70</xdr:row>
      <xdr:rowOff>45720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3AF3330-3249-322E-77F9-53A64398F8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213360</xdr:colOff>
      <xdr:row>74</xdr:row>
      <xdr:rowOff>91440</xdr:rowOff>
    </xdr:from>
    <xdr:to>
      <xdr:col>6</xdr:col>
      <xdr:colOff>594360</xdr:colOff>
      <xdr:row>85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F8F743F-ED38-BE85-6891-6D375ED11A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116140</xdr:colOff>
      <xdr:row>88</xdr:row>
      <xdr:rowOff>128752</xdr:rowOff>
    </xdr:from>
    <xdr:to>
      <xdr:col>5</xdr:col>
      <xdr:colOff>1090449</xdr:colOff>
      <xdr:row>100</xdr:row>
      <xdr:rowOff>39414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DE9F654-3089-9D29-D87D-62B1D8A164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133350</xdr:colOff>
      <xdr:row>6</xdr:row>
      <xdr:rowOff>95250</xdr:rowOff>
    </xdr:from>
    <xdr:to>
      <xdr:col>5</xdr:col>
      <xdr:colOff>47625</xdr:colOff>
      <xdr:row>17</xdr:row>
      <xdr:rowOff>104775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5DC01C5-6799-5E1E-3857-E9F0B4919E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6</xdr:col>
      <xdr:colOff>37378</xdr:colOff>
      <xdr:row>90</xdr:row>
      <xdr:rowOff>32056</xdr:rowOff>
    </xdr:from>
    <xdr:to>
      <xdr:col>11</xdr:col>
      <xdr:colOff>394138</xdr:colOff>
      <xdr:row>98</xdr:row>
      <xdr:rowOff>32057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Date Created">
              <a:extLst>
                <a:ext uri="{FF2B5EF4-FFF2-40B4-BE49-F238E27FC236}">
                  <a16:creationId xmlns:a16="http://schemas.microsoft.com/office/drawing/2014/main" id="{F91774F7-E3D9-299D-62AD-A5FB3C95A3C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Create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18723" y="15403435"/>
              <a:ext cx="2852968" cy="136634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>
    <xdr:from>
      <xdr:col>2</xdr:col>
      <xdr:colOff>373380</xdr:colOff>
      <xdr:row>102</xdr:row>
      <xdr:rowOff>133350</xdr:rowOff>
    </xdr:from>
    <xdr:to>
      <xdr:col>11</xdr:col>
      <xdr:colOff>396240</xdr:colOff>
      <xdr:row>118</xdr:row>
      <xdr:rowOff>163830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5F08AB5-BE11-A540-8048-B0971B8F72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85396</xdr:colOff>
      <xdr:row>129</xdr:row>
      <xdr:rowOff>40727</xdr:rowOff>
    </xdr:from>
    <xdr:to>
      <xdr:col>7</xdr:col>
      <xdr:colOff>144517</xdr:colOff>
      <xdr:row>147</xdr:row>
      <xdr:rowOff>65689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D8C450CC-412B-2158-BB49-C40C40A822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8</xdr:col>
      <xdr:colOff>379871</xdr:colOff>
      <xdr:row>131</xdr:row>
      <xdr:rowOff>35372</xdr:rowOff>
    </xdr:from>
    <xdr:to>
      <xdr:col>15</xdr:col>
      <xdr:colOff>227283</xdr:colOff>
      <xdr:row>139</xdr:row>
      <xdr:rowOff>52305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13" name="Date Resolved">
              <a:extLst>
                <a:ext uri="{FF2B5EF4-FFF2-40B4-BE49-F238E27FC236}">
                  <a16:creationId xmlns:a16="http://schemas.microsoft.com/office/drawing/2014/main" id="{8DB9425B-F8E9-6010-DC88-E41EF1E57BE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Resolve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896390" y="22754261"/>
              <a:ext cx="333756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seoluwa" refreshedDate="46212.393905092591" missingItemsLimit="0" createdVersion="8" refreshedVersion="8" minRefreshableVersion="3" recordCount="969" xr:uid="{03A8A723-A0EA-445A-8521-636ED6FD2D95}">
  <cacheSource type="worksheet">
    <worksheetSource name="CustomerTable"/>
  </cacheSource>
  <cacheFields count="18">
    <cacheField name="Ticket" numFmtId="0">
      <sharedItems/>
    </cacheField>
    <cacheField name="Sort Column" numFmtId="0">
      <sharedItems containsSemiMixedTypes="0" containsString="0" containsNumber="1" containsInteger="1" minValue="64" maxValue="1236"/>
    </cacheField>
    <cacheField name="Account Type" numFmtId="0">
      <sharedItems count="2">
        <s v="Company X"/>
        <s v="Company Y"/>
      </sharedItems>
    </cacheField>
    <cacheField name="Issue_Summary" numFmtId="0">
      <sharedItems/>
    </cacheField>
    <cacheField name="Priority" numFmtId="0">
      <sharedItems containsBlank="1" count="4">
        <m/>
        <s v="LOW"/>
        <s v="HIGH"/>
        <s v="CRITICAL"/>
      </sharedItems>
    </cacheField>
    <cacheField name="Status" numFmtId="0">
      <sharedItems count="5">
        <s v="RESOLVED"/>
        <s v="CLOSED"/>
        <s v="DEFERRED"/>
        <s v="ESCALATED"/>
        <s v="IN PROGRESS"/>
      </sharedItems>
    </cacheField>
    <cacheField name="Resolution" numFmtId="0">
      <sharedItems count="2">
        <s v="Done"/>
        <s v="Pending"/>
      </sharedItems>
    </cacheField>
    <cacheField name="Assigned" numFmtId="0">
      <sharedItems containsBlank="1" count="10">
        <s v="Team Lead 1"/>
        <s v="Team Lead 3"/>
        <m/>
        <s v="Agent C"/>
        <s v="Agent B"/>
        <s v="Agent A"/>
        <s v="Executive"/>
        <s v="Maverick"/>
        <s v="Agent E"/>
        <s v="Agent D"/>
      </sharedItems>
    </cacheField>
    <cacheField name="Category" numFmtId="0">
      <sharedItems count="8">
        <s v="Subscriptions &amp; Billing"/>
        <s v="Account Closure &amp; Deletion"/>
        <s v="International Users"/>
        <s v="Bank &amp; Deposit Related"/>
        <s v="Investments &amp; Strategies"/>
        <s v="Account &amp; Access"/>
        <s v="Documents &amp; Compliance"/>
        <s v="Technical / Platform Issues"/>
      </sharedItems>
    </cacheField>
    <cacheField name="User Name" numFmtId="0">
      <sharedItems/>
    </cacheField>
    <cacheField name="Date Created" numFmtId="14">
      <sharedItems containsNonDate="0" containsDate="1" containsString="0" containsBlank="1" minDate="2025-05-20T00:00:00" maxDate="2026-07-08T00:00:00" count="211">
        <d v="2025-05-20T00:00:00"/>
        <d v="2025-06-01T00:00:00"/>
        <d v="2025-06-09T00:00:00"/>
        <d v="2025-06-27T00:00:00"/>
        <d v="2025-06-24T00:00:00"/>
        <d v="2025-07-17T00:00:00"/>
        <d v="2025-07-19T00:00:00"/>
        <d v="2025-07-21T00:00:00"/>
        <d v="2025-07-27T00:00:00"/>
        <d v="2025-07-28T00:00:00"/>
        <d v="2025-07-29T00:00:00"/>
        <d v="2025-07-31T00:00:00"/>
        <d v="2025-08-04T00:00:00"/>
        <d v="2025-08-05T00:00:00"/>
        <d v="2025-08-06T00:00:00"/>
        <d v="2025-08-07T00:00:00"/>
        <d v="2025-08-11T00:00:00"/>
        <d v="2025-08-12T00:00:00"/>
        <d v="2025-08-13T00:00:00"/>
        <d v="2025-08-14T00:00:00"/>
        <d v="2025-08-15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6T00:00:00"/>
        <d v="2025-08-27T00:00:00"/>
        <d v="2025-08-28T00:00:00"/>
        <d v="2025-08-29T00:00:00"/>
        <d v="2025-09-01T00:00:00"/>
        <d v="2025-09-02T00:00:00"/>
        <d v="2025-09-03T00:00:00"/>
        <d v="2025-09-04T00:00:00"/>
        <d v="2025-09-05T00:00:00"/>
        <d v="2025-09-08T00:00:00"/>
        <d v="2025-09-09T00:00:00"/>
        <d v="2025-09-10T00:00:00"/>
        <d v="2025-09-11T00:00:00"/>
        <d v="2025-09-15T00:00:00"/>
        <d v="2025-09-16T00:00:00"/>
        <d v="2025-09-17T00:00:00"/>
        <d v="2025-09-18T00:00:00"/>
        <d v="2025-09-19T00:00:00"/>
        <d v="2025-09-22T00:00:00"/>
        <d v="2025-09-23T00:00:00"/>
        <d v="2025-09-24T00:00:00"/>
        <d v="2025-09-25T00:00:00"/>
        <d v="2025-09-26T00:00:00"/>
        <d v="2025-09-29T00:00:00"/>
        <d v="2025-09-30T00:00:00"/>
        <m/>
        <d v="2025-10-02T00:00:00"/>
        <d v="2025-10-03T00:00:00"/>
        <d v="2025-10-07T00:00:00"/>
        <d v="2025-10-08T00:00:00"/>
        <d v="2025-10-09T00:00:00"/>
        <d v="2025-10-10T00:00:00"/>
        <d v="2025-10-13T00:00:00"/>
        <d v="2025-10-14T00:00:00"/>
        <d v="2025-10-15T00:00:00"/>
        <d v="2025-10-19T00:00:00"/>
        <d v="2025-10-20T00:00:00"/>
        <d v="2025-10-22T00:00:00"/>
        <d v="2025-10-25T00:00:00"/>
        <d v="2025-10-27T00:00:00"/>
        <d v="2025-10-28T00:00:00"/>
        <d v="2025-10-29T00:00:00"/>
        <d v="2025-10-30T00:00:00"/>
        <d v="2025-10-31T00:00:00"/>
        <d v="2025-11-03T00:00:00"/>
        <d v="2025-11-05T00:00:00"/>
        <d v="2025-11-11T00:00:00"/>
        <d v="2025-10-11T00:00:00"/>
        <d v="2025-11-13T00:00:00"/>
        <d v="2025-11-14T00:00:00"/>
        <d v="2025-11-17T00:00:00"/>
        <d v="2025-11-18T00:00:00"/>
        <d v="2025-11-19T00:00:00"/>
        <d v="2025-11-20T00:00:00"/>
        <d v="2025-11-21T00:00:00"/>
        <d v="2025-11-24T00:00:00"/>
        <d v="2025-11-26T00:00:00"/>
        <d v="2025-11-28T00:00:00"/>
        <d v="2025-12-01T00:00:00"/>
        <d v="2025-12-02T00:00:00"/>
        <d v="2025-12-03T00:00:00"/>
        <d v="2025-12-04T00:00:00"/>
        <d v="2025-12-05T00:00:00"/>
        <d v="2025-12-08T00:00:00"/>
        <d v="2025-12-10T00:00:00"/>
        <d v="2025-12-11T00:00:00"/>
        <d v="2025-12-15T00:00:00"/>
        <d v="2025-12-16T00:00:00"/>
        <d v="2025-12-17T00:00:00"/>
        <d v="2025-12-19T00:00:00"/>
        <d v="2025-12-22T00:00:00"/>
        <d v="2025-12-25T00:00:00"/>
        <d v="2025-12-26T00:00:00"/>
        <d v="2025-12-27T00:00:00"/>
        <d v="2025-12-28T00:00:00"/>
        <d v="2025-12-31T00:00:00"/>
        <d v="2026-01-02T00:00:00"/>
        <d v="2026-01-03T00:00:00"/>
        <d v="2026-01-05T00:00:00"/>
        <d v="2026-01-06T00:00:00"/>
        <d v="2026-01-07T00:00:00"/>
        <d v="2026-01-09T00:00:00"/>
        <d v="2026-01-13T00:00:00"/>
        <d v="2026-01-16T00:00:00"/>
        <d v="2026-01-19T00:00:00"/>
        <d v="2026-01-20T00:00:00"/>
        <d v="2026-01-21T00:00:00"/>
        <d v="2026-01-22T00:00:00"/>
        <d v="2026-01-24T00:00:00"/>
        <d v="2026-01-27T00:00:00"/>
        <d v="2026-01-28T00:00:00"/>
        <d v="2026-01-30T00:00:00"/>
        <d v="2026-02-02T00:00:00"/>
        <d v="2026-02-03T00:00:00"/>
        <d v="2026-02-04T00:00:00"/>
        <d v="2026-02-08T00:00:00"/>
        <d v="2026-02-11T00:00:00"/>
        <d v="2026-02-12T00:00:00"/>
        <d v="2026-02-13T00:00:00"/>
        <d v="2026-02-16T00:00:00"/>
        <d v="2026-02-17T00:00:00"/>
        <d v="2026-02-18T00:00:00"/>
        <d v="2026-02-20T00:00:00"/>
        <d v="2026-02-23T00:00:00"/>
        <d v="2026-02-24T00:00:00"/>
        <d v="2026-02-26T00:00:00"/>
        <d v="2026-02-28T00:00:00"/>
        <d v="2026-03-04T00:00:00"/>
        <d v="2026-03-06T00:00:00"/>
        <d v="2026-03-09T00:00:00"/>
        <d v="2026-03-10T00:00:00"/>
        <d v="2026-03-11T00:00:00"/>
        <d v="2026-03-12T00:00:00"/>
        <d v="2026-03-13T00:00:00"/>
        <d v="2026-03-17T00:00:00"/>
        <d v="2026-03-19T00:00:00"/>
        <d v="2026-03-20T00:00:00"/>
        <d v="2026-03-24T00:00:00"/>
        <d v="2026-03-25T00:00:00"/>
        <d v="2026-03-26T00:00:00"/>
        <d v="2026-03-27T00:00:00"/>
        <d v="2026-03-30T00:00:00"/>
        <d v="2026-04-01T00:00:00"/>
        <d v="2026-04-02T00:00:00"/>
        <d v="2026-04-06T00:00:00"/>
        <d v="2026-04-07T00:00:00"/>
        <d v="2026-04-09T00:00:00"/>
        <d v="2026-04-13T00:00:00"/>
        <d v="2026-04-14T00:00:00"/>
        <d v="2026-04-16T00:00:00"/>
        <d v="2026-04-18T00:00:00"/>
        <d v="2026-04-20T00:00:00"/>
        <d v="2026-04-21T00:00:00"/>
        <d v="2026-04-22T00:00:00"/>
        <d v="2026-04-23T00:00:00"/>
        <d v="2026-04-24T00:00:00"/>
        <d v="2026-04-27T00:00:00"/>
        <d v="2026-04-28T00:00:00"/>
        <d v="2026-04-29T00:00:00"/>
        <d v="2026-04-30T00:00:00"/>
        <d v="2026-05-01T00:00:00"/>
        <d v="2026-05-04T00:00:00"/>
        <d v="2026-05-05T00:00:00"/>
        <d v="2026-05-06T00:00:00"/>
        <d v="2026-05-07T00:00:00"/>
        <d v="2026-05-08T00:00:00"/>
        <d v="2026-05-11T00:00:00"/>
        <d v="2026-05-12T00:00:00"/>
        <d v="2026-05-13T00:00:00"/>
        <d v="2026-05-14T00:00:00"/>
        <d v="2026-05-15T00:00:00"/>
        <d v="2026-05-18T00:00:00"/>
        <d v="2026-05-19T00:00:00"/>
        <d v="2026-05-21T00:00:00"/>
        <d v="2026-05-22T00:00:00"/>
        <d v="2026-05-23T00:00:00"/>
        <d v="2026-05-25T00:00:00"/>
        <d v="2026-05-26T00:00:00"/>
        <d v="2026-05-27T00:00:00"/>
        <d v="2026-05-28T00:00:00"/>
        <d v="2026-05-29T00:00:00"/>
        <d v="2026-06-01T00:00:00"/>
        <d v="2026-06-02T00:00:00"/>
        <d v="2026-06-03T00:00:00"/>
        <d v="2026-06-04T00:00:00"/>
        <d v="2026-06-05T00:00:00"/>
        <d v="2026-06-08T00:00:00"/>
        <d v="2026-06-09T00:00:00"/>
        <d v="2026-06-10T00:00:00"/>
        <d v="2026-06-11T00:00:00"/>
        <d v="2026-06-12T00:00:00"/>
        <d v="2026-06-15T00:00:00"/>
        <d v="2026-06-16T00:00:00"/>
        <d v="2026-06-17T00:00:00"/>
        <d v="2026-06-19T00:00:00"/>
        <d v="2026-06-22T00:00:00"/>
        <d v="2026-06-23T00:00:00"/>
        <d v="2026-06-25T00:00:00"/>
        <d v="2026-06-29T00:00:00"/>
        <d v="2026-07-01T00:00:00"/>
        <d v="2026-07-02T00:00:00"/>
        <d v="2026-07-06T00:00:00"/>
        <d v="2026-07-07T00:00:00"/>
      </sharedItems>
      <fieldGroup par="14"/>
    </cacheField>
    <cacheField name="Comments" numFmtId="0">
      <sharedItems containsNonDate="0" containsString="0" containsBlank="1"/>
    </cacheField>
    <cacheField name="Date Resolved" numFmtId="14">
      <sharedItems containsNonDate="0" containsDate="1" containsString="0" containsBlank="1" minDate="2025-09-02T00:00:00" maxDate="2026-07-08T00:00:00" count="206">
        <d v="2025-10-02T00:00:00"/>
        <m/>
        <d v="2025-12-04T00:00:00"/>
        <d v="2025-11-24T00:00:00"/>
        <d v="2025-10-15T00:00:00"/>
        <d v="2025-09-08T00:00:00"/>
        <d v="2025-12-03T00:00:00"/>
        <d v="2025-10-29T00:00:00"/>
        <d v="2025-09-02T00:00:00"/>
        <d v="2025-10-14T00:00:00"/>
        <d v="2025-10-03T00:00:00"/>
        <d v="2025-11-01T00:00:00"/>
        <d v="2025-10-06T00:00:00"/>
        <d v="2025-09-12T00:00:00"/>
        <d v="2025-09-17T00:00:00"/>
        <d v="2025-09-03T00:00:00"/>
        <d v="2025-10-18T00:00:00"/>
        <d v="2026-01-16T00:00:00"/>
        <d v="2025-09-04T00:00:00"/>
        <d v="2025-10-04T00:00:00"/>
        <d v="2025-09-06T00:00:00"/>
        <d v="2025-09-09T00:00:00"/>
        <d v="2025-12-15T00:00:00"/>
        <d v="2026-02-11T00:00:00"/>
        <d v="2025-09-18T00:00:00"/>
        <d v="2025-09-05T00:00:00"/>
        <d v="2025-10-23T00:00:00"/>
        <d v="2025-10-16T00:00:00"/>
        <d v="2026-01-07T00:00:00"/>
        <d v="2025-11-13T00:00:00"/>
        <d v="2025-10-01T00:00:00"/>
        <d v="2025-09-16T00:00:00"/>
        <d v="2025-10-24T00:00:00"/>
        <d v="2025-10-07T00:00:00"/>
        <d v="2025-10-08T00:00:00"/>
        <d v="2025-09-29T00:00:00"/>
        <d v="2025-09-26T00:00:00"/>
        <d v="2025-10-10T00:00:00"/>
        <d v="2025-10-31T00:00:00"/>
        <d v="2025-11-25T00:00:00"/>
        <d v="2025-11-18T00:00:00"/>
        <d v="2025-10-11T00:00:00"/>
        <d v="2025-12-16T00:00:00"/>
        <d v="2025-10-30T00:00:00"/>
        <d v="2025-11-05T00:00:00"/>
        <d v="2025-10-20T00:00:00"/>
        <d v="2025-11-03T00:00:00"/>
        <d v="2025-11-12T00:00:00"/>
        <d v="2025-12-12T00:00:00"/>
        <d v="2025-11-11T00:00:00"/>
        <d v="2025-11-14T00:00:00"/>
        <d v="2025-11-19T00:00:00"/>
        <d v="2025-11-20T00:00:00"/>
        <d v="2025-11-21T00:00:00"/>
        <d v="2025-11-27T00:00:00"/>
        <d v="2025-12-19T00:00:00"/>
        <d v="2026-03-24T00:00:00"/>
        <d v="2025-11-29T00:00:00"/>
        <d v="2026-01-01T00:00:00"/>
        <d v="2025-12-09T00:00:00"/>
        <d v="2025-12-10T00:00:00"/>
        <d v="2025-12-23T00:00:00"/>
        <d v="2025-12-30T00:00:00"/>
        <d v="2026-01-20T00:00:00"/>
        <d v="2026-03-26T00:00:00"/>
        <d v="2026-03-19T00:00:00"/>
        <d v="2026-01-08T00:00:00"/>
        <d v="2025-11-17T00:00:00"/>
        <d v="2025-12-27T00:00:00"/>
        <d v="2025-12-22T00:00:00"/>
        <d v="2026-01-15T00:00:00"/>
        <d v="2025-12-05T00:00:00"/>
        <d v="2025-12-29T00:00:00"/>
        <d v="2025-12-08T00:00:00"/>
        <d v="2026-02-05T00:00:00"/>
        <d v="2025-12-13T00:00:00"/>
        <d v="2026-03-16T00:00:00"/>
        <d v="2026-03-13T00:00:00"/>
        <d v="2025-12-18T00:00:00"/>
        <d v="2026-03-12T00:00:00"/>
        <d v="2026-04-14T00:00:00"/>
        <d v="2026-01-05T00:00:00"/>
        <d v="2026-03-20T00:00:00"/>
        <d v="2026-03-04T00:00:00"/>
        <d v="2025-12-17T00:00:00"/>
        <d v="2026-01-06T00:00:00"/>
        <d v="2025-12-31T00:00:00"/>
        <d v="2025-12-25T00:00:00"/>
        <d v="2026-01-17T00:00:00"/>
        <d v="2025-12-28T00:00:00"/>
        <d v="2026-01-30T00:00:00"/>
        <d v="2026-01-27T00:00:00"/>
        <d v="2026-02-04T00:00:00"/>
        <d v="2026-01-02T00:00:00"/>
        <d v="2026-02-06T00:00:00"/>
        <d v="2026-01-29T00:00:00"/>
        <d v="2026-02-13T00:00:00"/>
        <d v="2026-02-14T00:00:00"/>
        <d v="2026-02-25T00:00:00"/>
        <d v="2026-02-10T00:00:00"/>
        <d v="2026-03-23T00:00:00"/>
        <d v="2026-04-20T00:00:00"/>
        <d v="2026-01-09T00:00:00"/>
        <d v="2026-04-13T00:00:00"/>
        <d v="2026-03-03T00:00:00"/>
        <d v="2026-02-27T00:00:00"/>
        <d v="2026-03-11T00:00:00"/>
        <d v="2026-04-02T00:00:00"/>
        <d v="2026-01-13T00:00:00"/>
        <d v="2026-03-25T00:00:00"/>
        <d v="2026-03-10T00:00:00"/>
        <d v="2026-02-12T00:00:00"/>
        <d v="2026-03-18T00:00:00"/>
        <d v="2026-01-28T00:00:00"/>
        <d v="2026-01-12T00:00:00"/>
        <d v="2026-03-05T00:00:00"/>
        <d v="2026-05-04T00:00:00"/>
        <d v="2026-01-22T00:00:00"/>
        <d v="2026-03-02T00:00:00"/>
        <d v="2026-01-19T00:00:00"/>
        <d v="2026-02-19T00:00:00"/>
        <d v="2026-02-15T00:00:00"/>
        <d v="2026-01-31T00:00:00"/>
        <d v="2026-03-31T00:00:00"/>
        <d v="2026-04-27T00:00:00"/>
        <d v="2026-01-24T00:00:00"/>
        <d v="2026-03-06T00:00:00"/>
        <d v="2026-02-18T00:00:00"/>
        <d v="2026-04-16T00:00:00"/>
        <d v="2026-04-10T00:00:00"/>
        <d v="2026-03-30T00:00:00"/>
        <d v="2026-02-02T00:00:00"/>
        <d v="2026-02-07T00:00:00"/>
        <d v="2026-02-08T00:00:00"/>
        <d v="2026-05-11T00:00:00"/>
        <d v="2026-03-01T00:00:00"/>
        <d v="2026-02-26T00:00:00"/>
        <d v="2026-02-17T00:00:00"/>
        <d v="2026-02-16T00:00:00"/>
        <d v="2026-06-29T00:00:00"/>
        <d v="2026-03-15T00:00:00"/>
        <d v="2026-02-23T00:00:00"/>
        <d v="2026-04-09T00:00:00"/>
        <d v="2026-02-20T00:00:00"/>
        <d v="2026-04-07T00:00:00"/>
        <d v="2026-04-01T00:00:00"/>
        <d v="2026-02-24T00:00:00"/>
        <d v="2026-04-30T00:00:00"/>
        <d v="2026-02-28T00:00:00"/>
        <d v="2026-04-18T00:00:00"/>
        <d v="2026-04-15T00:00:00"/>
        <d v="2026-04-22T00:00:00"/>
        <d v="2026-03-09T00:00:00"/>
        <d v="2026-04-06T00:00:00"/>
        <d v="2026-03-17T00:00:00"/>
        <d v="2026-03-27T00:00:00"/>
        <d v="2026-04-08T00:00:00"/>
        <d v="2026-04-03T00:00:00"/>
        <d v="2026-04-23T00:00:00"/>
        <d v="2026-04-21T00:00:00"/>
        <d v="2026-05-18T00:00:00"/>
        <d v="2026-04-17T00:00:00"/>
        <d v="2026-04-29T00:00:00"/>
        <d v="2026-04-24T00:00:00"/>
        <d v="2026-05-13T00:00:00"/>
        <d v="2026-05-25T00:00:00"/>
        <d v="2026-05-06T00:00:00"/>
        <d v="2026-05-05T00:00:00"/>
        <d v="2026-05-21T00:00:00"/>
        <d v="2026-05-07T00:00:00"/>
        <d v="2026-06-16T00:00:00"/>
        <d v="2026-05-14T00:00:00"/>
        <d v="2026-05-12T00:00:00"/>
        <d v="2026-05-08T00:00:00"/>
        <d v="2026-05-15T00:00:00"/>
        <d v="2026-05-09T00:00:00"/>
        <d v="2026-05-19T00:00:00"/>
        <d v="2026-06-01T00:00:00"/>
        <d v="2026-05-20T00:00:00"/>
        <d v="2026-05-30T00:00:00"/>
        <d v="2026-06-15T00:00:00"/>
        <d v="2026-05-26T00:00:00"/>
        <d v="2026-05-29T00:00:00"/>
        <d v="2026-06-05T00:00:00"/>
        <d v="2026-05-10T00:00:00"/>
        <d v="2026-06-22T00:00:00"/>
        <d v="2026-05-27T00:00:00"/>
        <d v="2026-05-28T00:00:00"/>
        <d v="2026-06-08T00:00:00"/>
        <d v="2026-06-10T00:00:00"/>
        <d v="2026-06-03T00:00:00"/>
        <d v="2026-06-19T00:00:00"/>
        <d v="2026-06-09T00:00:00"/>
        <d v="2026-06-12T00:00:00"/>
        <d v="2026-06-11T00:00:00"/>
        <d v="2026-06-18T00:00:00"/>
        <d v="2026-07-01T00:00:00"/>
        <d v="2026-06-24T00:00:00"/>
        <d v="2026-06-25T00:00:00"/>
        <d v="2026-06-20T00:00:00"/>
        <d v="2026-06-23T00:00:00"/>
        <d v="2026-07-07T00:00:00"/>
        <d v="2026-07-04T00:00:00"/>
        <d v="2026-06-26T00:00:00"/>
        <d v="2026-07-03T00:00:00"/>
        <d v="2026-07-06T00:00:00"/>
      </sharedItems>
      <fieldGroup par="17"/>
    </cacheField>
    <cacheField name="Months (Date Created)" numFmtId="0" databaseField="0">
      <fieldGroup base="10">
        <rangePr groupBy="months" startDate="2025-05-20T00:00:00" endDate="2026-07-08T00:00:00"/>
        <groupItems count="14">
          <s v="&lt;20/05/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8/07/2026"/>
        </groupItems>
      </fieldGroup>
    </cacheField>
    <cacheField name="Years (Date Created)" numFmtId="0" databaseField="0">
      <fieldGroup base="10">
        <rangePr groupBy="years" startDate="2025-05-20T00:00:00" endDate="2026-07-08T00:00:00"/>
        <groupItems count="4">
          <s v="&lt;20/05/2025"/>
          <s v="2025"/>
          <s v="2026"/>
          <s v="&gt;08/07/2026"/>
        </groupItems>
      </fieldGroup>
    </cacheField>
    <cacheField name="Months (Date Resolved)" numFmtId="0" databaseField="0">
      <fieldGroup base="12">
        <rangePr groupBy="months" startDate="2025-09-02T00:00:00" endDate="2026-07-08T00:00:00"/>
        <groupItems count="14">
          <s v="&lt;02/09/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8/07/2026"/>
        </groupItems>
      </fieldGroup>
    </cacheField>
    <cacheField name="Quarters (Date Resolved)" numFmtId="0" databaseField="0">
      <fieldGroup base="12">
        <rangePr groupBy="quarters" startDate="2025-09-02T00:00:00" endDate="2026-07-08T00:00:00"/>
        <groupItems count="6">
          <s v="&lt;02/09/2025"/>
          <s v="Qtr1"/>
          <s v="Qtr2"/>
          <s v="Qtr3"/>
          <s v="Qtr4"/>
          <s v="&gt;08/07/2026"/>
        </groupItems>
      </fieldGroup>
    </cacheField>
    <cacheField name="Years (Date Resolved)" numFmtId="0" databaseField="0">
      <fieldGroup base="12">
        <rangePr groupBy="years" startDate="2025-09-02T00:00:00" endDate="2026-07-08T00:00:00"/>
        <groupItems count="4">
          <s v="&lt;02/09/2025"/>
          <s v="2025"/>
          <s v="2026"/>
          <s v="&gt;08/07/2026"/>
        </groupItems>
      </fieldGroup>
    </cacheField>
  </cacheFields>
  <extLst>
    <ext xmlns:x14="http://schemas.microsoft.com/office/spreadsheetml/2009/9/main" uri="{725AE2AE-9491-48be-B2B4-4EB974FC3084}">
      <x14:pivotCacheDefinition pivotCacheId="153058517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9">
  <r>
    <s v="CS-64"/>
    <n v="64"/>
    <x v="0"/>
    <s v="Issue 45"/>
    <x v="0"/>
    <x v="0"/>
    <x v="0"/>
    <x v="0"/>
    <x v="0"/>
    <s v="Client 045"/>
    <x v="0"/>
    <m/>
    <x v="0"/>
  </r>
  <r>
    <s v="CS-78"/>
    <n v="78"/>
    <x v="0"/>
    <s v="Issue 59"/>
    <x v="0"/>
    <x v="0"/>
    <x v="0"/>
    <x v="1"/>
    <x v="1"/>
    <s v="Client 059"/>
    <x v="1"/>
    <m/>
    <x v="1"/>
  </r>
  <r>
    <s v="CS-84"/>
    <n v="84"/>
    <x v="0"/>
    <s v="Issue 65"/>
    <x v="0"/>
    <x v="0"/>
    <x v="0"/>
    <x v="2"/>
    <x v="0"/>
    <s v="Client 065"/>
    <x v="1"/>
    <m/>
    <x v="1"/>
  </r>
  <r>
    <s v="CS-85"/>
    <n v="85"/>
    <x v="0"/>
    <s v="Issue 66"/>
    <x v="0"/>
    <x v="0"/>
    <x v="0"/>
    <x v="3"/>
    <x v="0"/>
    <s v="Client 066"/>
    <x v="1"/>
    <m/>
    <x v="1"/>
  </r>
  <r>
    <s v="CS-97"/>
    <n v="97"/>
    <x v="0"/>
    <s v="Issue 78"/>
    <x v="0"/>
    <x v="0"/>
    <x v="0"/>
    <x v="3"/>
    <x v="2"/>
    <s v="Client 078"/>
    <x v="2"/>
    <m/>
    <x v="1"/>
  </r>
  <r>
    <s v="CS-150"/>
    <n v="150"/>
    <x v="0"/>
    <s v="Issue 131"/>
    <x v="0"/>
    <x v="0"/>
    <x v="0"/>
    <x v="4"/>
    <x v="3"/>
    <s v="Client 131"/>
    <x v="3"/>
    <m/>
    <x v="2"/>
  </r>
  <r>
    <s v="CS-155"/>
    <n v="155"/>
    <x v="0"/>
    <s v="Issue 136"/>
    <x v="0"/>
    <x v="0"/>
    <x v="0"/>
    <x v="0"/>
    <x v="3"/>
    <s v="Client 136"/>
    <x v="4"/>
    <m/>
    <x v="3"/>
  </r>
  <r>
    <s v="CS-197"/>
    <n v="197"/>
    <x v="0"/>
    <s v="Issue 178"/>
    <x v="1"/>
    <x v="0"/>
    <x v="0"/>
    <x v="5"/>
    <x v="3"/>
    <s v="Client 178"/>
    <x v="5"/>
    <m/>
    <x v="4"/>
  </r>
  <r>
    <s v="CS-199"/>
    <n v="199"/>
    <x v="0"/>
    <s v="Issue 180"/>
    <x v="0"/>
    <x v="0"/>
    <x v="0"/>
    <x v="4"/>
    <x v="3"/>
    <s v="Client 180"/>
    <x v="5"/>
    <m/>
    <x v="5"/>
  </r>
  <r>
    <s v="CS-205"/>
    <n v="205"/>
    <x v="0"/>
    <s v="Issue 186"/>
    <x v="0"/>
    <x v="0"/>
    <x v="0"/>
    <x v="0"/>
    <x v="1"/>
    <s v="Client 186"/>
    <x v="6"/>
    <m/>
    <x v="5"/>
  </r>
  <r>
    <s v="CS-211"/>
    <n v="211"/>
    <x v="0"/>
    <s v="Issue 192"/>
    <x v="1"/>
    <x v="0"/>
    <x v="0"/>
    <x v="4"/>
    <x v="4"/>
    <s v="Client 192"/>
    <x v="7"/>
    <m/>
    <x v="1"/>
  </r>
  <r>
    <s v="CS-228"/>
    <n v="228"/>
    <x v="0"/>
    <s v="Issue 209"/>
    <x v="0"/>
    <x v="0"/>
    <x v="0"/>
    <x v="3"/>
    <x v="3"/>
    <s v="Client 209"/>
    <x v="8"/>
    <m/>
    <x v="0"/>
  </r>
  <r>
    <s v="CS-229"/>
    <n v="229"/>
    <x v="0"/>
    <s v="Issue 210"/>
    <x v="0"/>
    <x v="0"/>
    <x v="0"/>
    <x v="4"/>
    <x v="3"/>
    <s v="Client 210"/>
    <x v="9"/>
    <m/>
    <x v="6"/>
  </r>
  <r>
    <s v="CS-239"/>
    <n v="239"/>
    <x v="0"/>
    <s v="Issue 220"/>
    <x v="1"/>
    <x v="0"/>
    <x v="0"/>
    <x v="3"/>
    <x v="3"/>
    <s v="Client 220"/>
    <x v="10"/>
    <m/>
    <x v="7"/>
  </r>
  <r>
    <s v="CS-243"/>
    <n v="243"/>
    <x v="0"/>
    <s v="Issue 224"/>
    <x v="0"/>
    <x v="0"/>
    <x v="0"/>
    <x v="3"/>
    <x v="3"/>
    <s v="Client 224"/>
    <x v="11"/>
    <m/>
    <x v="5"/>
  </r>
  <r>
    <s v="CS-248"/>
    <n v="248"/>
    <x v="1"/>
    <s v="Issue 229"/>
    <x v="0"/>
    <x v="0"/>
    <x v="0"/>
    <x v="0"/>
    <x v="4"/>
    <s v="Client 229"/>
    <x v="12"/>
    <m/>
    <x v="0"/>
  </r>
  <r>
    <s v="CS-249"/>
    <n v="249"/>
    <x v="0"/>
    <s v="Issue 230"/>
    <x v="0"/>
    <x v="0"/>
    <x v="0"/>
    <x v="1"/>
    <x v="3"/>
    <s v="Client 230"/>
    <x v="12"/>
    <m/>
    <x v="5"/>
  </r>
  <r>
    <s v="CS-250"/>
    <n v="250"/>
    <x v="0"/>
    <s v="Issue 231"/>
    <x v="0"/>
    <x v="0"/>
    <x v="0"/>
    <x v="0"/>
    <x v="3"/>
    <s v="Client 231"/>
    <x v="13"/>
    <m/>
    <x v="0"/>
  </r>
  <r>
    <s v="CS-252"/>
    <n v="252"/>
    <x v="0"/>
    <s v="Issue 233"/>
    <x v="0"/>
    <x v="0"/>
    <x v="0"/>
    <x v="0"/>
    <x v="3"/>
    <s v="Client 233"/>
    <x v="13"/>
    <m/>
    <x v="5"/>
  </r>
  <r>
    <s v="CS-258"/>
    <n v="258"/>
    <x v="0"/>
    <s v="Issue 239"/>
    <x v="0"/>
    <x v="0"/>
    <x v="0"/>
    <x v="3"/>
    <x v="3"/>
    <s v="Client 239"/>
    <x v="14"/>
    <m/>
    <x v="5"/>
  </r>
  <r>
    <s v="CS-260"/>
    <n v="260"/>
    <x v="0"/>
    <s v="Issue 241"/>
    <x v="0"/>
    <x v="0"/>
    <x v="0"/>
    <x v="0"/>
    <x v="4"/>
    <s v="Client 241"/>
    <x v="14"/>
    <m/>
    <x v="2"/>
  </r>
  <r>
    <s v="CS-262"/>
    <n v="262"/>
    <x v="0"/>
    <s v="Issue 243"/>
    <x v="0"/>
    <x v="0"/>
    <x v="0"/>
    <x v="4"/>
    <x v="1"/>
    <s v="Client 243"/>
    <x v="15"/>
    <m/>
    <x v="8"/>
  </r>
  <r>
    <s v="CS-265"/>
    <n v="265"/>
    <x v="0"/>
    <s v="Issue 246"/>
    <x v="0"/>
    <x v="0"/>
    <x v="0"/>
    <x v="4"/>
    <x v="3"/>
    <s v="Client 246"/>
    <x v="16"/>
    <m/>
    <x v="5"/>
  </r>
  <r>
    <s v="CS-266"/>
    <n v="266"/>
    <x v="0"/>
    <s v="Issue 247"/>
    <x v="0"/>
    <x v="0"/>
    <x v="0"/>
    <x v="4"/>
    <x v="3"/>
    <s v="Client 247"/>
    <x v="16"/>
    <m/>
    <x v="9"/>
  </r>
  <r>
    <s v="CS-269"/>
    <n v="269"/>
    <x v="0"/>
    <s v="Issue 250"/>
    <x v="0"/>
    <x v="0"/>
    <x v="0"/>
    <x v="0"/>
    <x v="1"/>
    <s v="Client 250"/>
    <x v="17"/>
    <m/>
    <x v="10"/>
  </r>
  <r>
    <s v="CS-274"/>
    <n v="274"/>
    <x v="0"/>
    <s v="Issue 255"/>
    <x v="0"/>
    <x v="0"/>
    <x v="0"/>
    <x v="0"/>
    <x v="5"/>
    <s v="Client 255"/>
    <x v="18"/>
    <m/>
    <x v="11"/>
  </r>
  <r>
    <s v="CS-276"/>
    <n v="276"/>
    <x v="0"/>
    <s v="Issue 257"/>
    <x v="0"/>
    <x v="0"/>
    <x v="0"/>
    <x v="4"/>
    <x v="3"/>
    <s v="Client 257"/>
    <x v="19"/>
    <m/>
    <x v="5"/>
  </r>
  <r>
    <s v="CS-285"/>
    <n v="285"/>
    <x v="0"/>
    <s v="Issue 266"/>
    <x v="0"/>
    <x v="0"/>
    <x v="0"/>
    <x v="4"/>
    <x v="5"/>
    <s v="Client 266"/>
    <x v="19"/>
    <m/>
    <x v="3"/>
  </r>
  <r>
    <s v="CS-287"/>
    <n v="287"/>
    <x v="0"/>
    <s v="Issue 268"/>
    <x v="0"/>
    <x v="0"/>
    <x v="0"/>
    <x v="0"/>
    <x v="3"/>
    <s v="Client 268"/>
    <x v="20"/>
    <m/>
    <x v="12"/>
  </r>
  <r>
    <s v="CS-288"/>
    <n v="288"/>
    <x v="0"/>
    <s v="Issue 269"/>
    <x v="0"/>
    <x v="0"/>
    <x v="0"/>
    <x v="3"/>
    <x v="3"/>
    <s v="Client 269"/>
    <x v="20"/>
    <m/>
    <x v="13"/>
  </r>
  <r>
    <s v="CS-289"/>
    <n v="289"/>
    <x v="0"/>
    <s v="Issue 270"/>
    <x v="0"/>
    <x v="0"/>
    <x v="0"/>
    <x v="3"/>
    <x v="3"/>
    <s v="Client 270"/>
    <x v="20"/>
    <m/>
    <x v="5"/>
  </r>
  <r>
    <s v="CS-290"/>
    <n v="290"/>
    <x v="0"/>
    <s v="Issue 271"/>
    <x v="1"/>
    <x v="0"/>
    <x v="0"/>
    <x v="4"/>
    <x v="4"/>
    <s v="Client 271"/>
    <x v="21"/>
    <m/>
    <x v="14"/>
  </r>
  <r>
    <s v="CS-291"/>
    <n v="291"/>
    <x v="0"/>
    <s v="Issue 272"/>
    <x v="0"/>
    <x v="0"/>
    <x v="0"/>
    <x v="3"/>
    <x v="5"/>
    <s v="Client 272"/>
    <x v="21"/>
    <m/>
    <x v="5"/>
  </r>
  <r>
    <s v="CS-295"/>
    <n v="295"/>
    <x v="0"/>
    <s v="Issue 276"/>
    <x v="0"/>
    <x v="0"/>
    <x v="0"/>
    <x v="4"/>
    <x v="5"/>
    <s v="Client 276"/>
    <x v="21"/>
    <m/>
    <x v="8"/>
  </r>
  <r>
    <s v="CS-297"/>
    <n v="297"/>
    <x v="0"/>
    <s v="Issue 278"/>
    <x v="0"/>
    <x v="0"/>
    <x v="0"/>
    <x v="4"/>
    <x v="3"/>
    <s v="Client 278"/>
    <x v="22"/>
    <m/>
    <x v="14"/>
  </r>
  <r>
    <s v="CS-298"/>
    <n v="298"/>
    <x v="0"/>
    <s v="Issue 279"/>
    <x v="0"/>
    <x v="0"/>
    <x v="0"/>
    <x v="3"/>
    <x v="5"/>
    <s v="Client 279"/>
    <x v="22"/>
    <m/>
    <x v="5"/>
  </r>
  <r>
    <s v="CS-299"/>
    <n v="299"/>
    <x v="0"/>
    <s v="Issue 280"/>
    <x v="0"/>
    <x v="0"/>
    <x v="0"/>
    <x v="0"/>
    <x v="5"/>
    <s v="Client 280"/>
    <x v="23"/>
    <m/>
    <x v="8"/>
  </r>
  <r>
    <s v="CS-300"/>
    <n v="300"/>
    <x v="0"/>
    <s v="Issue 281"/>
    <x v="0"/>
    <x v="0"/>
    <x v="0"/>
    <x v="3"/>
    <x v="6"/>
    <s v="Client 281"/>
    <x v="23"/>
    <m/>
    <x v="5"/>
  </r>
  <r>
    <s v="CS-302"/>
    <n v="302"/>
    <x v="0"/>
    <s v="Issue 283"/>
    <x v="1"/>
    <x v="0"/>
    <x v="0"/>
    <x v="4"/>
    <x v="5"/>
    <s v="Client 283"/>
    <x v="23"/>
    <m/>
    <x v="15"/>
  </r>
  <r>
    <s v="CS-303"/>
    <n v="303"/>
    <x v="0"/>
    <s v="Issue 284"/>
    <x v="0"/>
    <x v="0"/>
    <x v="0"/>
    <x v="4"/>
    <x v="3"/>
    <s v="Client 284"/>
    <x v="23"/>
    <m/>
    <x v="0"/>
  </r>
  <r>
    <s v="CS-304"/>
    <n v="304"/>
    <x v="0"/>
    <s v="Issue 285"/>
    <x v="0"/>
    <x v="0"/>
    <x v="0"/>
    <x v="5"/>
    <x v="1"/>
    <s v="Client 285"/>
    <x v="24"/>
    <m/>
    <x v="5"/>
  </r>
  <r>
    <s v="CS-305"/>
    <n v="305"/>
    <x v="0"/>
    <s v="Issue 286"/>
    <x v="0"/>
    <x v="0"/>
    <x v="0"/>
    <x v="3"/>
    <x v="3"/>
    <s v="Client 286"/>
    <x v="24"/>
    <m/>
    <x v="5"/>
  </r>
  <r>
    <s v="CS-306"/>
    <n v="306"/>
    <x v="0"/>
    <s v="Issue 287"/>
    <x v="1"/>
    <x v="0"/>
    <x v="0"/>
    <x v="5"/>
    <x v="4"/>
    <s v="Client 287"/>
    <x v="24"/>
    <m/>
    <x v="16"/>
  </r>
  <r>
    <s v="CS-307"/>
    <n v="307"/>
    <x v="0"/>
    <s v="Issue 288"/>
    <x v="0"/>
    <x v="0"/>
    <x v="0"/>
    <x v="5"/>
    <x v="3"/>
    <s v="Client 288"/>
    <x v="25"/>
    <m/>
    <x v="17"/>
  </r>
  <r>
    <s v="CS-308"/>
    <n v="308"/>
    <x v="0"/>
    <s v="Issue 289"/>
    <x v="0"/>
    <x v="0"/>
    <x v="0"/>
    <x v="5"/>
    <x v="3"/>
    <s v="Client 289"/>
    <x v="26"/>
    <m/>
    <x v="5"/>
  </r>
  <r>
    <s v="CS-309"/>
    <n v="309"/>
    <x v="0"/>
    <s v="Issue 290"/>
    <x v="0"/>
    <x v="0"/>
    <x v="0"/>
    <x v="5"/>
    <x v="6"/>
    <s v="Client 290"/>
    <x v="26"/>
    <m/>
    <x v="5"/>
  </r>
  <r>
    <s v="CS-311"/>
    <n v="311"/>
    <x v="1"/>
    <s v="Issue 292"/>
    <x v="1"/>
    <x v="0"/>
    <x v="0"/>
    <x v="5"/>
    <x v="7"/>
    <s v="Client 292"/>
    <x v="27"/>
    <m/>
    <x v="0"/>
  </r>
  <r>
    <s v="CS-312"/>
    <n v="312"/>
    <x v="0"/>
    <s v="Issue 293"/>
    <x v="0"/>
    <x v="0"/>
    <x v="0"/>
    <x v="3"/>
    <x v="3"/>
    <s v="Client 293"/>
    <x v="27"/>
    <m/>
    <x v="10"/>
  </r>
  <r>
    <s v="CS-313"/>
    <n v="313"/>
    <x v="0"/>
    <s v="Issue 294"/>
    <x v="0"/>
    <x v="0"/>
    <x v="0"/>
    <x v="3"/>
    <x v="0"/>
    <s v="Client 294"/>
    <x v="28"/>
    <m/>
    <x v="8"/>
  </r>
  <r>
    <s v="CS-314"/>
    <n v="314"/>
    <x v="0"/>
    <s v="Issue 295"/>
    <x v="0"/>
    <x v="0"/>
    <x v="0"/>
    <x v="3"/>
    <x v="5"/>
    <s v="Client 295"/>
    <x v="28"/>
    <m/>
    <x v="18"/>
  </r>
  <r>
    <s v="CS-315"/>
    <n v="315"/>
    <x v="0"/>
    <s v="Issue 296"/>
    <x v="0"/>
    <x v="0"/>
    <x v="0"/>
    <x v="3"/>
    <x v="3"/>
    <s v="Client 296"/>
    <x v="28"/>
    <m/>
    <x v="15"/>
  </r>
  <r>
    <s v="CS-316"/>
    <n v="316"/>
    <x v="0"/>
    <s v="Issue 297"/>
    <x v="0"/>
    <x v="0"/>
    <x v="0"/>
    <x v="3"/>
    <x v="3"/>
    <s v="Client 297"/>
    <x v="29"/>
    <m/>
    <x v="5"/>
  </r>
  <r>
    <s v="CS-317"/>
    <n v="317"/>
    <x v="0"/>
    <s v="Issue 298"/>
    <x v="0"/>
    <x v="0"/>
    <x v="0"/>
    <x v="0"/>
    <x v="6"/>
    <s v="Client 298"/>
    <x v="29"/>
    <m/>
    <x v="0"/>
  </r>
  <r>
    <s v="CS-318"/>
    <n v="318"/>
    <x v="0"/>
    <s v="Issue 299"/>
    <x v="0"/>
    <x v="0"/>
    <x v="0"/>
    <x v="3"/>
    <x v="4"/>
    <s v="Client 299"/>
    <x v="29"/>
    <m/>
    <x v="5"/>
  </r>
  <r>
    <s v="CS-320"/>
    <n v="320"/>
    <x v="0"/>
    <s v="Issue 301"/>
    <x v="0"/>
    <x v="0"/>
    <x v="0"/>
    <x v="6"/>
    <x v="0"/>
    <s v="Client 301"/>
    <x v="30"/>
    <m/>
    <x v="5"/>
  </r>
  <r>
    <s v="CS-321"/>
    <n v="321"/>
    <x v="0"/>
    <s v="Issue 302"/>
    <x v="0"/>
    <x v="0"/>
    <x v="0"/>
    <x v="3"/>
    <x v="3"/>
    <s v="Client 302"/>
    <x v="31"/>
    <m/>
    <x v="13"/>
  </r>
  <r>
    <s v="CS-322"/>
    <n v="322"/>
    <x v="0"/>
    <s v="Issue 303"/>
    <x v="0"/>
    <x v="0"/>
    <x v="0"/>
    <x v="3"/>
    <x v="3"/>
    <s v="Client 303"/>
    <x v="31"/>
    <m/>
    <x v="18"/>
  </r>
  <r>
    <s v="CS-323"/>
    <n v="323"/>
    <x v="0"/>
    <s v="Issue 304"/>
    <x v="0"/>
    <x v="0"/>
    <x v="0"/>
    <x v="5"/>
    <x v="3"/>
    <s v="Client 304"/>
    <x v="31"/>
    <m/>
    <x v="3"/>
  </r>
  <r>
    <s v="CS-324"/>
    <n v="324"/>
    <x v="0"/>
    <s v="Issue 305"/>
    <x v="0"/>
    <x v="0"/>
    <x v="0"/>
    <x v="3"/>
    <x v="3"/>
    <s v="Client 305"/>
    <x v="32"/>
    <m/>
    <x v="13"/>
  </r>
  <r>
    <s v="CS-325"/>
    <n v="325"/>
    <x v="0"/>
    <s v="Issue 306"/>
    <x v="0"/>
    <x v="0"/>
    <x v="0"/>
    <x v="3"/>
    <x v="4"/>
    <s v="Client 306"/>
    <x v="32"/>
    <m/>
    <x v="15"/>
  </r>
  <r>
    <s v="CS-326"/>
    <n v="326"/>
    <x v="0"/>
    <s v="Issue 307"/>
    <x v="0"/>
    <x v="0"/>
    <x v="0"/>
    <x v="0"/>
    <x v="1"/>
    <s v="Client 307"/>
    <x v="32"/>
    <m/>
    <x v="19"/>
  </r>
  <r>
    <s v="CS-327"/>
    <n v="327"/>
    <x v="0"/>
    <s v="Issue 308"/>
    <x v="0"/>
    <x v="0"/>
    <x v="0"/>
    <x v="3"/>
    <x v="3"/>
    <s v="Client 308"/>
    <x v="32"/>
    <m/>
    <x v="20"/>
  </r>
  <r>
    <s v="CS-328"/>
    <n v="328"/>
    <x v="0"/>
    <s v="Issue 309"/>
    <x v="0"/>
    <x v="0"/>
    <x v="0"/>
    <x v="5"/>
    <x v="1"/>
    <s v="Client 309"/>
    <x v="33"/>
    <m/>
    <x v="21"/>
  </r>
  <r>
    <s v="CS-329"/>
    <n v="329"/>
    <x v="0"/>
    <s v="Issue 310"/>
    <x v="0"/>
    <x v="0"/>
    <x v="0"/>
    <x v="3"/>
    <x v="7"/>
    <s v="Client 310"/>
    <x v="33"/>
    <m/>
    <x v="5"/>
  </r>
  <r>
    <s v="CS-330"/>
    <n v="330"/>
    <x v="0"/>
    <s v="Issue 311"/>
    <x v="0"/>
    <x v="0"/>
    <x v="0"/>
    <x v="5"/>
    <x v="3"/>
    <s v="Client 311"/>
    <x v="33"/>
    <m/>
    <x v="0"/>
  </r>
  <r>
    <s v="CS-331"/>
    <n v="331"/>
    <x v="0"/>
    <s v="Issue 312"/>
    <x v="0"/>
    <x v="0"/>
    <x v="0"/>
    <x v="0"/>
    <x v="3"/>
    <s v="Client 312"/>
    <x v="33"/>
    <m/>
    <x v="22"/>
  </r>
  <r>
    <s v="CS-332"/>
    <n v="332"/>
    <x v="0"/>
    <s v="Issue 313"/>
    <x v="0"/>
    <x v="0"/>
    <x v="0"/>
    <x v="3"/>
    <x v="3"/>
    <s v="Client 313"/>
    <x v="33"/>
    <m/>
    <x v="23"/>
  </r>
  <r>
    <s v="CS-333"/>
    <n v="333"/>
    <x v="0"/>
    <s v="Issue 314"/>
    <x v="0"/>
    <x v="0"/>
    <x v="0"/>
    <x v="0"/>
    <x v="7"/>
    <s v="Client 314"/>
    <x v="34"/>
    <m/>
    <x v="19"/>
  </r>
  <r>
    <s v="CS-334"/>
    <n v="334"/>
    <x v="0"/>
    <s v="Issue 315"/>
    <x v="0"/>
    <x v="0"/>
    <x v="0"/>
    <x v="3"/>
    <x v="7"/>
    <s v="Client 315"/>
    <x v="34"/>
    <m/>
    <x v="24"/>
  </r>
  <r>
    <s v="CS-335"/>
    <n v="335"/>
    <x v="0"/>
    <s v="Issue 316"/>
    <x v="0"/>
    <x v="0"/>
    <x v="0"/>
    <x v="7"/>
    <x v="7"/>
    <s v="Client 316"/>
    <x v="35"/>
    <m/>
    <x v="17"/>
  </r>
  <r>
    <s v="CS-336"/>
    <n v="336"/>
    <x v="0"/>
    <s v="Issue 317"/>
    <x v="0"/>
    <x v="0"/>
    <x v="0"/>
    <x v="3"/>
    <x v="3"/>
    <s v="Client 317"/>
    <x v="35"/>
    <m/>
    <x v="5"/>
  </r>
  <r>
    <s v="CS-337"/>
    <n v="337"/>
    <x v="0"/>
    <s v="Issue 318"/>
    <x v="0"/>
    <x v="0"/>
    <x v="0"/>
    <x v="3"/>
    <x v="3"/>
    <s v="Client 318"/>
    <x v="35"/>
    <m/>
    <x v="24"/>
  </r>
  <r>
    <s v="CS-338"/>
    <n v="338"/>
    <x v="0"/>
    <s v="Issue 319"/>
    <x v="0"/>
    <x v="0"/>
    <x v="0"/>
    <x v="0"/>
    <x v="0"/>
    <s v="Client 319"/>
    <x v="35"/>
    <m/>
    <x v="12"/>
  </r>
  <r>
    <s v="CS-339"/>
    <n v="339"/>
    <x v="0"/>
    <s v="Issue 320"/>
    <x v="0"/>
    <x v="0"/>
    <x v="0"/>
    <x v="7"/>
    <x v="7"/>
    <s v="Client 320"/>
    <x v="35"/>
    <m/>
    <x v="0"/>
  </r>
  <r>
    <s v="CS-340"/>
    <n v="340"/>
    <x v="0"/>
    <s v="Issue 321"/>
    <x v="0"/>
    <x v="0"/>
    <x v="0"/>
    <x v="7"/>
    <x v="4"/>
    <s v="Client 321"/>
    <x v="35"/>
    <m/>
    <x v="25"/>
  </r>
  <r>
    <s v="CS-341"/>
    <n v="341"/>
    <x v="0"/>
    <s v="Issue 322"/>
    <x v="0"/>
    <x v="0"/>
    <x v="0"/>
    <x v="3"/>
    <x v="3"/>
    <s v="Client 322"/>
    <x v="36"/>
    <m/>
    <x v="19"/>
  </r>
  <r>
    <s v="CS-342"/>
    <n v="342"/>
    <x v="0"/>
    <s v="Issue 323"/>
    <x v="0"/>
    <x v="0"/>
    <x v="0"/>
    <x v="3"/>
    <x v="5"/>
    <s v="Client 323"/>
    <x v="36"/>
    <m/>
    <x v="21"/>
  </r>
  <r>
    <s v="CS-343"/>
    <n v="343"/>
    <x v="0"/>
    <s v="Issue 324"/>
    <x v="0"/>
    <x v="0"/>
    <x v="0"/>
    <x v="7"/>
    <x v="2"/>
    <s v="Client 324"/>
    <x v="37"/>
    <m/>
    <x v="17"/>
  </r>
  <r>
    <s v="CS-344"/>
    <n v="344"/>
    <x v="0"/>
    <s v="Issue 325"/>
    <x v="0"/>
    <x v="0"/>
    <x v="0"/>
    <x v="3"/>
    <x v="1"/>
    <s v="Client 325"/>
    <x v="37"/>
    <m/>
    <x v="21"/>
  </r>
  <r>
    <s v="CS-345"/>
    <n v="345"/>
    <x v="0"/>
    <s v="Issue 326"/>
    <x v="0"/>
    <x v="0"/>
    <x v="0"/>
    <x v="3"/>
    <x v="3"/>
    <s v="Client 326"/>
    <x v="37"/>
    <m/>
    <x v="10"/>
  </r>
  <r>
    <s v="CS-346"/>
    <n v="346"/>
    <x v="0"/>
    <s v="Issue 327"/>
    <x v="0"/>
    <x v="0"/>
    <x v="0"/>
    <x v="0"/>
    <x v="5"/>
    <s v="Client 327"/>
    <x v="38"/>
    <m/>
    <x v="26"/>
  </r>
  <r>
    <s v="CS-347"/>
    <n v="347"/>
    <x v="0"/>
    <s v="Issue 328"/>
    <x v="0"/>
    <x v="0"/>
    <x v="0"/>
    <x v="7"/>
    <x v="2"/>
    <s v="Client 328"/>
    <x v="38"/>
    <m/>
    <x v="17"/>
  </r>
  <r>
    <s v="CS-348"/>
    <n v="348"/>
    <x v="0"/>
    <s v="Issue 329"/>
    <x v="0"/>
    <x v="0"/>
    <x v="0"/>
    <x v="3"/>
    <x v="3"/>
    <s v="Client 329"/>
    <x v="38"/>
    <m/>
    <x v="17"/>
  </r>
  <r>
    <s v="CS-349"/>
    <n v="349"/>
    <x v="0"/>
    <s v="Issue 330"/>
    <x v="0"/>
    <x v="0"/>
    <x v="0"/>
    <x v="5"/>
    <x v="3"/>
    <s v="Client 330"/>
    <x v="38"/>
    <m/>
    <x v="9"/>
  </r>
  <r>
    <s v="CS-350"/>
    <n v="350"/>
    <x v="0"/>
    <s v="Issue 331"/>
    <x v="0"/>
    <x v="0"/>
    <x v="0"/>
    <x v="3"/>
    <x v="5"/>
    <s v="Client 331"/>
    <x v="38"/>
    <m/>
    <x v="19"/>
  </r>
  <r>
    <s v="CS-351"/>
    <n v="351"/>
    <x v="0"/>
    <s v="Issue 332"/>
    <x v="0"/>
    <x v="1"/>
    <x v="0"/>
    <x v="3"/>
    <x v="0"/>
    <s v="Client 332"/>
    <x v="38"/>
    <m/>
    <x v="13"/>
  </r>
  <r>
    <s v="CS-352"/>
    <n v="352"/>
    <x v="0"/>
    <s v="Issue 333"/>
    <x v="0"/>
    <x v="0"/>
    <x v="0"/>
    <x v="3"/>
    <x v="3"/>
    <s v="Client 333"/>
    <x v="39"/>
    <m/>
    <x v="3"/>
  </r>
  <r>
    <s v="CS-353"/>
    <n v="353"/>
    <x v="0"/>
    <s v="Issue 334"/>
    <x v="0"/>
    <x v="0"/>
    <x v="0"/>
    <x v="5"/>
    <x v="3"/>
    <s v="Client 334"/>
    <x v="39"/>
    <m/>
    <x v="27"/>
  </r>
  <r>
    <s v="CS-354"/>
    <n v="354"/>
    <x v="0"/>
    <s v="Issue 335"/>
    <x v="0"/>
    <x v="0"/>
    <x v="0"/>
    <x v="5"/>
    <x v="5"/>
    <s v="Client 335"/>
    <x v="39"/>
    <m/>
    <x v="28"/>
  </r>
  <r>
    <s v="CS-355"/>
    <n v="355"/>
    <x v="0"/>
    <s v="Issue 336"/>
    <x v="0"/>
    <x v="0"/>
    <x v="0"/>
    <x v="5"/>
    <x v="5"/>
    <s v="Client 336"/>
    <x v="39"/>
    <m/>
    <x v="3"/>
  </r>
  <r>
    <s v="CS-356"/>
    <n v="356"/>
    <x v="0"/>
    <s v="Issue 337"/>
    <x v="0"/>
    <x v="0"/>
    <x v="0"/>
    <x v="3"/>
    <x v="3"/>
    <s v="Client 337"/>
    <x v="39"/>
    <m/>
    <x v="0"/>
  </r>
  <r>
    <s v="CS-357"/>
    <n v="357"/>
    <x v="0"/>
    <s v="Issue 338"/>
    <x v="1"/>
    <x v="2"/>
    <x v="0"/>
    <x v="5"/>
    <x v="6"/>
    <s v="Client 338"/>
    <x v="39"/>
    <m/>
    <x v="29"/>
  </r>
  <r>
    <s v="CS-358"/>
    <n v="358"/>
    <x v="0"/>
    <s v="Issue 339"/>
    <x v="0"/>
    <x v="0"/>
    <x v="0"/>
    <x v="5"/>
    <x v="5"/>
    <s v="Client 339"/>
    <x v="40"/>
    <m/>
    <x v="12"/>
  </r>
  <r>
    <s v="CS-359"/>
    <n v="359"/>
    <x v="0"/>
    <s v="Issue 340"/>
    <x v="0"/>
    <x v="0"/>
    <x v="0"/>
    <x v="3"/>
    <x v="3"/>
    <s v="Client 340"/>
    <x v="41"/>
    <m/>
    <x v="3"/>
  </r>
  <r>
    <s v="CS-360"/>
    <n v="360"/>
    <x v="0"/>
    <s v="Issue 341"/>
    <x v="0"/>
    <x v="0"/>
    <x v="0"/>
    <x v="0"/>
    <x v="3"/>
    <s v="Client 341"/>
    <x v="41"/>
    <m/>
    <x v="30"/>
  </r>
  <r>
    <s v="CS-361"/>
    <n v="361"/>
    <x v="0"/>
    <s v="Issue 342"/>
    <x v="0"/>
    <x v="0"/>
    <x v="0"/>
    <x v="3"/>
    <x v="3"/>
    <s v="Client 342"/>
    <x v="41"/>
    <m/>
    <x v="31"/>
  </r>
  <r>
    <s v="CS-362"/>
    <n v="362"/>
    <x v="0"/>
    <s v="Issue 343"/>
    <x v="0"/>
    <x v="0"/>
    <x v="0"/>
    <x v="5"/>
    <x v="3"/>
    <s v="Client 343"/>
    <x v="41"/>
    <m/>
    <x v="10"/>
  </r>
  <r>
    <s v="CS-363"/>
    <n v="363"/>
    <x v="0"/>
    <s v="Issue 344"/>
    <x v="0"/>
    <x v="0"/>
    <x v="0"/>
    <x v="5"/>
    <x v="3"/>
    <s v="Client 344"/>
    <x v="41"/>
    <m/>
    <x v="0"/>
  </r>
  <r>
    <s v="CS-364"/>
    <n v="364"/>
    <x v="0"/>
    <s v="Issue 345"/>
    <x v="0"/>
    <x v="0"/>
    <x v="0"/>
    <x v="5"/>
    <x v="3"/>
    <s v="Client 345"/>
    <x v="41"/>
    <m/>
    <x v="3"/>
  </r>
  <r>
    <s v="CS-365"/>
    <n v="365"/>
    <x v="0"/>
    <s v="Issue 346"/>
    <x v="0"/>
    <x v="0"/>
    <x v="0"/>
    <x v="3"/>
    <x v="5"/>
    <s v="Client 346"/>
    <x v="41"/>
    <m/>
    <x v="24"/>
  </r>
  <r>
    <s v="CS-366"/>
    <n v="366"/>
    <x v="0"/>
    <s v="Issue 347"/>
    <x v="0"/>
    <x v="0"/>
    <x v="0"/>
    <x v="3"/>
    <x v="1"/>
    <s v="Client 347"/>
    <x v="42"/>
    <m/>
    <x v="32"/>
  </r>
  <r>
    <s v="CS-367"/>
    <n v="367"/>
    <x v="0"/>
    <s v="Issue 348"/>
    <x v="0"/>
    <x v="0"/>
    <x v="0"/>
    <x v="5"/>
    <x v="4"/>
    <s v="Client 348"/>
    <x v="42"/>
    <m/>
    <x v="17"/>
  </r>
  <r>
    <s v="CS-368"/>
    <n v="368"/>
    <x v="0"/>
    <s v="Issue 349"/>
    <x v="0"/>
    <x v="0"/>
    <x v="0"/>
    <x v="0"/>
    <x v="3"/>
    <s v="Client 349"/>
    <x v="42"/>
    <m/>
    <x v="2"/>
  </r>
  <r>
    <s v="CS-369"/>
    <n v="369"/>
    <x v="0"/>
    <s v="Issue 350"/>
    <x v="0"/>
    <x v="0"/>
    <x v="0"/>
    <x v="5"/>
    <x v="5"/>
    <s v="Client 350"/>
    <x v="42"/>
    <m/>
    <x v="3"/>
  </r>
  <r>
    <s v="CS-370"/>
    <n v="370"/>
    <x v="0"/>
    <s v="Issue 351"/>
    <x v="0"/>
    <x v="0"/>
    <x v="0"/>
    <x v="0"/>
    <x v="7"/>
    <s v="Client 351"/>
    <x v="42"/>
    <m/>
    <x v="10"/>
  </r>
  <r>
    <s v="CS-371"/>
    <n v="371"/>
    <x v="0"/>
    <s v="Issue 352"/>
    <x v="0"/>
    <x v="0"/>
    <x v="0"/>
    <x v="0"/>
    <x v="7"/>
    <s v="Client 352"/>
    <x v="43"/>
    <m/>
    <x v="33"/>
  </r>
  <r>
    <s v="CS-372"/>
    <n v="372"/>
    <x v="0"/>
    <s v="Issue 353"/>
    <x v="0"/>
    <x v="0"/>
    <x v="0"/>
    <x v="3"/>
    <x v="3"/>
    <s v="Client 353"/>
    <x v="43"/>
    <m/>
    <x v="0"/>
  </r>
  <r>
    <s v="CS-373"/>
    <n v="373"/>
    <x v="0"/>
    <s v="Issue 354"/>
    <x v="0"/>
    <x v="0"/>
    <x v="0"/>
    <x v="5"/>
    <x v="1"/>
    <s v="Client 354"/>
    <x v="44"/>
    <m/>
    <x v="10"/>
  </r>
  <r>
    <s v="CS-374"/>
    <n v="374"/>
    <x v="0"/>
    <s v="Issue 355"/>
    <x v="0"/>
    <x v="0"/>
    <x v="0"/>
    <x v="5"/>
    <x v="4"/>
    <s v="Client 355"/>
    <x v="44"/>
    <m/>
    <x v="34"/>
  </r>
  <r>
    <s v="CS-375"/>
    <n v="375"/>
    <x v="0"/>
    <s v="Issue 356"/>
    <x v="0"/>
    <x v="0"/>
    <x v="0"/>
    <x v="5"/>
    <x v="3"/>
    <s v="Client 356"/>
    <x v="45"/>
    <m/>
    <x v="10"/>
  </r>
  <r>
    <s v="CS-376"/>
    <n v="376"/>
    <x v="0"/>
    <s v="Issue 357"/>
    <x v="0"/>
    <x v="0"/>
    <x v="0"/>
    <x v="5"/>
    <x v="5"/>
    <s v="Client 357"/>
    <x v="45"/>
    <m/>
    <x v="10"/>
  </r>
  <r>
    <s v="CS-377"/>
    <n v="377"/>
    <x v="0"/>
    <s v="Issue 358"/>
    <x v="0"/>
    <x v="0"/>
    <x v="0"/>
    <x v="5"/>
    <x v="3"/>
    <s v="Client 358"/>
    <x v="45"/>
    <m/>
    <x v="10"/>
  </r>
  <r>
    <s v="CS-378"/>
    <n v="378"/>
    <x v="0"/>
    <s v="Issue 359"/>
    <x v="0"/>
    <x v="0"/>
    <x v="0"/>
    <x v="5"/>
    <x v="0"/>
    <s v="Client 359"/>
    <x v="46"/>
    <m/>
    <x v="9"/>
  </r>
  <r>
    <s v="CS-379"/>
    <n v="379"/>
    <x v="0"/>
    <s v="Issue 360"/>
    <x v="0"/>
    <x v="0"/>
    <x v="0"/>
    <x v="0"/>
    <x v="4"/>
    <s v="Client 360"/>
    <x v="47"/>
    <m/>
    <x v="34"/>
  </r>
  <r>
    <s v="CS-380"/>
    <n v="380"/>
    <x v="0"/>
    <s v="Issue 361"/>
    <x v="0"/>
    <x v="0"/>
    <x v="0"/>
    <x v="5"/>
    <x v="3"/>
    <s v="Client 361"/>
    <x v="47"/>
    <m/>
    <x v="17"/>
  </r>
  <r>
    <s v="CS-381"/>
    <n v="381"/>
    <x v="0"/>
    <s v="Issue 362"/>
    <x v="0"/>
    <x v="0"/>
    <x v="0"/>
    <x v="5"/>
    <x v="3"/>
    <s v="Client 362"/>
    <x v="47"/>
    <m/>
    <x v="3"/>
  </r>
  <r>
    <s v="CS-382"/>
    <n v="382"/>
    <x v="0"/>
    <s v="Issue 363"/>
    <x v="0"/>
    <x v="0"/>
    <x v="0"/>
    <x v="5"/>
    <x v="7"/>
    <s v="Client 363"/>
    <x v="47"/>
    <m/>
    <x v="35"/>
  </r>
  <r>
    <s v="CS-383"/>
    <n v="383"/>
    <x v="0"/>
    <s v="Issue 364"/>
    <x v="0"/>
    <x v="0"/>
    <x v="0"/>
    <x v="5"/>
    <x v="3"/>
    <s v="Client 364"/>
    <x v="47"/>
    <m/>
    <x v="3"/>
  </r>
  <r>
    <s v="CS-384"/>
    <n v="384"/>
    <x v="0"/>
    <s v="Issue 365"/>
    <x v="0"/>
    <x v="0"/>
    <x v="0"/>
    <x v="5"/>
    <x v="3"/>
    <s v="Client 365"/>
    <x v="48"/>
    <m/>
    <x v="36"/>
  </r>
  <r>
    <s v="CS-385"/>
    <n v="385"/>
    <x v="0"/>
    <s v="Issue 366"/>
    <x v="0"/>
    <x v="0"/>
    <x v="0"/>
    <x v="5"/>
    <x v="3"/>
    <s v="Client 366"/>
    <x v="48"/>
    <m/>
    <x v="36"/>
  </r>
  <r>
    <s v="CS-386"/>
    <n v="386"/>
    <x v="0"/>
    <s v="Issue 367"/>
    <x v="0"/>
    <x v="0"/>
    <x v="0"/>
    <x v="5"/>
    <x v="3"/>
    <s v="Client 367"/>
    <x v="49"/>
    <m/>
    <x v="37"/>
  </r>
  <r>
    <s v="CS-387"/>
    <n v="387"/>
    <x v="0"/>
    <s v="Issue 368"/>
    <x v="0"/>
    <x v="0"/>
    <x v="0"/>
    <x v="5"/>
    <x v="3"/>
    <s v="Client 368"/>
    <x v="49"/>
    <m/>
    <x v="33"/>
  </r>
  <r>
    <s v="CS-388"/>
    <n v="388"/>
    <x v="0"/>
    <s v="Issue 369"/>
    <x v="0"/>
    <x v="0"/>
    <x v="0"/>
    <x v="5"/>
    <x v="1"/>
    <s v="Client 369"/>
    <x v="49"/>
    <m/>
    <x v="38"/>
  </r>
  <r>
    <s v="CS-389"/>
    <n v="389"/>
    <x v="0"/>
    <s v="Issue 370"/>
    <x v="0"/>
    <x v="0"/>
    <x v="0"/>
    <x v="5"/>
    <x v="5"/>
    <s v="Client 370"/>
    <x v="50"/>
    <m/>
    <x v="10"/>
  </r>
  <r>
    <s v="CS-390"/>
    <n v="390"/>
    <x v="0"/>
    <s v="Issue 371"/>
    <x v="0"/>
    <x v="0"/>
    <x v="0"/>
    <x v="5"/>
    <x v="3"/>
    <s v="Client 371"/>
    <x v="50"/>
    <m/>
    <x v="33"/>
  </r>
  <r>
    <s v="CS-391"/>
    <n v="391"/>
    <x v="0"/>
    <s v="Issue 372"/>
    <x v="0"/>
    <x v="0"/>
    <x v="0"/>
    <x v="5"/>
    <x v="4"/>
    <s v="Client 372"/>
    <x v="50"/>
    <m/>
    <x v="10"/>
  </r>
  <r>
    <s v="CS-392"/>
    <n v="392"/>
    <x v="0"/>
    <s v="Issue 373"/>
    <x v="0"/>
    <x v="0"/>
    <x v="0"/>
    <x v="0"/>
    <x v="5"/>
    <s v="Client 373"/>
    <x v="50"/>
    <m/>
    <x v="10"/>
  </r>
  <r>
    <s v="CS-393"/>
    <n v="393"/>
    <x v="0"/>
    <s v="Issue 374"/>
    <x v="0"/>
    <x v="0"/>
    <x v="0"/>
    <x v="5"/>
    <x v="1"/>
    <s v="Client 374"/>
    <x v="51"/>
    <m/>
    <x v="3"/>
  </r>
  <r>
    <s v="CS-394"/>
    <n v="394"/>
    <x v="0"/>
    <s v="Issue 375"/>
    <x v="0"/>
    <x v="0"/>
    <x v="0"/>
    <x v="5"/>
    <x v="0"/>
    <s v="Client 375"/>
    <x v="51"/>
    <m/>
    <x v="30"/>
  </r>
  <r>
    <s v="CS-395"/>
    <n v="395"/>
    <x v="0"/>
    <s v="Issue 376"/>
    <x v="0"/>
    <x v="0"/>
    <x v="0"/>
    <x v="5"/>
    <x v="3"/>
    <s v="Client 376"/>
    <x v="51"/>
    <m/>
    <x v="17"/>
  </r>
  <r>
    <s v="CS-396"/>
    <n v="396"/>
    <x v="0"/>
    <s v="Issue 377"/>
    <x v="0"/>
    <x v="0"/>
    <x v="0"/>
    <x v="5"/>
    <x v="3"/>
    <s v="Client 377"/>
    <x v="51"/>
    <m/>
    <x v="17"/>
  </r>
  <r>
    <s v="CS-397"/>
    <n v="397"/>
    <x v="0"/>
    <s v="Issue 378"/>
    <x v="0"/>
    <x v="0"/>
    <x v="0"/>
    <x v="5"/>
    <x v="3"/>
    <s v="Client 378"/>
    <x v="51"/>
    <m/>
    <x v="39"/>
  </r>
  <r>
    <s v="CS-398"/>
    <n v="398"/>
    <x v="0"/>
    <s v="Issue 379"/>
    <x v="0"/>
    <x v="0"/>
    <x v="0"/>
    <x v="5"/>
    <x v="3"/>
    <s v="Client 379"/>
    <x v="52"/>
    <m/>
    <x v="12"/>
  </r>
  <r>
    <s v="CS-399"/>
    <n v="399"/>
    <x v="0"/>
    <s v="Issue 380"/>
    <x v="0"/>
    <x v="0"/>
    <x v="0"/>
    <x v="5"/>
    <x v="3"/>
    <s v="Client 380"/>
    <x v="53"/>
    <m/>
    <x v="29"/>
  </r>
  <r>
    <s v="CS-400"/>
    <n v="400"/>
    <x v="0"/>
    <s v="Issue 381"/>
    <x v="0"/>
    <x v="0"/>
    <x v="0"/>
    <x v="0"/>
    <x v="4"/>
    <s v="Client 381"/>
    <x v="47"/>
    <m/>
    <x v="33"/>
  </r>
  <r>
    <s v="CS-401"/>
    <n v="401"/>
    <x v="1"/>
    <s v="Issue 382"/>
    <x v="1"/>
    <x v="0"/>
    <x v="0"/>
    <x v="0"/>
    <x v="4"/>
    <s v="Client 382"/>
    <x v="54"/>
    <m/>
    <x v="40"/>
  </r>
  <r>
    <s v="CS-402"/>
    <n v="402"/>
    <x v="1"/>
    <s v="Issue 383"/>
    <x v="1"/>
    <x v="0"/>
    <x v="0"/>
    <x v="0"/>
    <x v="4"/>
    <s v="Client 383"/>
    <x v="54"/>
    <m/>
    <x v="41"/>
  </r>
  <r>
    <s v="CS-403"/>
    <n v="403"/>
    <x v="0"/>
    <s v="Issue 384"/>
    <x v="1"/>
    <x v="0"/>
    <x v="0"/>
    <x v="0"/>
    <x v="5"/>
    <s v="Client 384"/>
    <x v="54"/>
    <m/>
    <x v="9"/>
  </r>
  <r>
    <s v="CS-404"/>
    <n v="404"/>
    <x v="0"/>
    <s v="Issue 385"/>
    <x v="1"/>
    <x v="0"/>
    <x v="0"/>
    <x v="0"/>
    <x v="6"/>
    <s v="Client 385"/>
    <x v="55"/>
    <m/>
    <x v="4"/>
  </r>
  <r>
    <s v="CS-405"/>
    <n v="405"/>
    <x v="0"/>
    <s v="Issue 386"/>
    <x v="0"/>
    <x v="0"/>
    <x v="0"/>
    <x v="5"/>
    <x v="3"/>
    <s v="Client 386"/>
    <x v="55"/>
    <m/>
    <x v="9"/>
  </r>
  <r>
    <s v="CS-406"/>
    <n v="406"/>
    <x v="0"/>
    <s v="Issue 387"/>
    <x v="1"/>
    <x v="0"/>
    <x v="0"/>
    <x v="5"/>
    <x v="3"/>
    <s v="Client 387"/>
    <x v="55"/>
    <m/>
    <x v="16"/>
  </r>
  <r>
    <s v="CS-407"/>
    <n v="407"/>
    <x v="0"/>
    <s v="Issue 388"/>
    <x v="0"/>
    <x v="0"/>
    <x v="0"/>
    <x v="0"/>
    <x v="4"/>
    <s v="Client 388"/>
    <x v="56"/>
    <m/>
    <x v="42"/>
  </r>
  <r>
    <s v="CS-409"/>
    <n v="409"/>
    <x v="0"/>
    <s v="Issue 390"/>
    <x v="0"/>
    <x v="0"/>
    <x v="0"/>
    <x v="5"/>
    <x v="5"/>
    <s v="Client 390"/>
    <x v="57"/>
    <m/>
    <x v="17"/>
  </r>
  <r>
    <s v="CS-410"/>
    <n v="410"/>
    <x v="0"/>
    <s v="Issue 391"/>
    <x v="0"/>
    <x v="0"/>
    <x v="0"/>
    <x v="7"/>
    <x v="2"/>
    <s v="Client 391"/>
    <x v="57"/>
    <m/>
    <x v="39"/>
  </r>
  <r>
    <s v="CS-411"/>
    <n v="411"/>
    <x v="0"/>
    <s v="Issue 392"/>
    <x v="0"/>
    <x v="0"/>
    <x v="0"/>
    <x v="5"/>
    <x v="4"/>
    <s v="Client 392"/>
    <x v="57"/>
    <m/>
    <x v="43"/>
  </r>
  <r>
    <s v="CS-412"/>
    <n v="412"/>
    <x v="0"/>
    <s v="Issue 393"/>
    <x v="0"/>
    <x v="0"/>
    <x v="0"/>
    <x v="5"/>
    <x v="5"/>
    <s v="Client 393"/>
    <x v="57"/>
    <m/>
    <x v="39"/>
  </r>
  <r>
    <s v="CS-413"/>
    <n v="413"/>
    <x v="0"/>
    <s v="Issue 394"/>
    <x v="1"/>
    <x v="0"/>
    <x v="0"/>
    <x v="5"/>
    <x v="5"/>
    <s v="Client 394"/>
    <x v="57"/>
    <m/>
    <x v="39"/>
  </r>
  <r>
    <s v="CS-414"/>
    <n v="414"/>
    <x v="0"/>
    <s v="Issue 395"/>
    <x v="0"/>
    <x v="0"/>
    <x v="0"/>
    <x v="5"/>
    <x v="3"/>
    <s v="Client 395"/>
    <x v="58"/>
    <m/>
    <x v="44"/>
  </r>
  <r>
    <s v="CS-415"/>
    <n v="415"/>
    <x v="0"/>
    <s v="Issue 396"/>
    <x v="0"/>
    <x v="0"/>
    <x v="0"/>
    <x v="0"/>
    <x v="3"/>
    <s v="Client 396"/>
    <x v="58"/>
    <m/>
    <x v="27"/>
  </r>
  <r>
    <s v="CS-416"/>
    <n v="416"/>
    <x v="0"/>
    <s v="Issue 397"/>
    <x v="0"/>
    <x v="0"/>
    <x v="0"/>
    <x v="5"/>
    <x v="3"/>
    <s v="Client 397"/>
    <x v="58"/>
    <m/>
    <x v="39"/>
  </r>
  <r>
    <s v="CS-417"/>
    <n v="417"/>
    <x v="0"/>
    <s v="Issue 398"/>
    <x v="0"/>
    <x v="0"/>
    <x v="0"/>
    <x v="5"/>
    <x v="4"/>
    <s v="Client 398"/>
    <x v="58"/>
    <m/>
    <x v="9"/>
  </r>
  <r>
    <s v="CS-418"/>
    <n v="418"/>
    <x v="0"/>
    <s v="Issue 399"/>
    <x v="0"/>
    <x v="0"/>
    <x v="0"/>
    <x v="5"/>
    <x v="5"/>
    <s v="Client 399"/>
    <x v="58"/>
    <m/>
    <x v="27"/>
  </r>
  <r>
    <s v="CS-419"/>
    <n v="419"/>
    <x v="0"/>
    <s v="Issue 400"/>
    <x v="0"/>
    <x v="0"/>
    <x v="0"/>
    <x v="5"/>
    <x v="4"/>
    <s v="Client 400"/>
    <x v="58"/>
    <m/>
    <x v="7"/>
  </r>
  <r>
    <s v="CS-420"/>
    <n v="420"/>
    <x v="0"/>
    <s v="Issue 401"/>
    <x v="0"/>
    <x v="0"/>
    <x v="0"/>
    <x v="5"/>
    <x v="0"/>
    <s v="Client 401"/>
    <x v="58"/>
    <m/>
    <x v="45"/>
  </r>
  <r>
    <s v="CS-421"/>
    <n v="421"/>
    <x v="0"/>
    <s v="Issue 402"/>
    <x v="2"/>
    <x v="1"/>
    <x v="0"/>
    <x v="5"/>
    <x v="3"/>
    <s v="Client 402"/>
    <x v="58"/>
    <m/>
    <x v="1"/>
  </r>
  <r>
    <s v="CS-422"/>
    <n v="422"/>
    <x v="0"/>
    <s v="Issue 403"/>
    <x v="0"/>
    <x v="0"/>
    <x v="0"/>
    <x v="5"/>
    <x v="5"/>
    <s v="Client 403"/>
    <x v="59"/>
    <m/>
    <x v="1"/>
  </r>
  <r>
    <s v="CS-423"/>
    <n v="423"/>
    <x v="0"/>
    <s v="Issue 404"/>
    <x v="0"/>
    <x v="0"/>
    <x v="0"/>
    <x v="5"/>
    <x v="1"/>
    <s v="Client 404"/>
    <x v="59"/>
    <m/>
    <x v="45"/>
  </r>
  <r>
    <s v="CS-424"/>
    <n v="424"/>
    <x v="0"/>
    <s v="Issue 405"/>
    <x v="0"/>
    <x v="0"/>
    <x v="0"/>
    <x v="0"/>
    <x v="3"/>
    <s v="Client 405"/>
    <x v="59"/>
    <m/>
    <x v="44"/>
  </r>
  <r>
    <s v="CS-425"/>
    <n v="425"/>
    <x v="0"/>
    <s v="Issue 406"/>
    <x v="1"/>
    <x v="0"/>
    <x v="0"/>
    <x v="5"/>
    <x v="3"/>
    <s v="Client 406"/>
    <x v="59"/>
    <m/>
    <x v="29"/>
  </r>
  <r>
    <s v="CS-426"/>
    <n v="426"/>
    <x v="0"/>
    <s v="Issue 407"/>
    <x v="0"/>
    <x v="0"/>
    <x v="0"/>
    <x v="5"/>
    <x v="1"/>
    <s v="Client 407"/>
    <x v="59"/>
    <m/>
    <x v="39"/>
  </r>
  <r>
    <s v="CS-427"/>
    <n v="427"/>
    <x v="0"/>
    <s v="Issue 408"/>
    <x v="1"/>
    <x v="0"/>
    <x v="0"/>
    <x v="7"/>
    <x v="7"/>
    <s v="Client 408"/>
    <x v="60"/>
    <m/>
    <x v="39"/>
  </r>
  <r>
    <s v="CS-428"/>
    <n v="428"/>
    <x v="0"/>
    <s v="Issue 409"/>
    <x v="0"/>
    <x v="0"/>
    <x v="0"/>
    <x v="5"/>
    <x v="1"/>
    <s v="Client 409"/>
    <x v="60"/>
    <m/>
    <x v="46"/>
  </r>
  <r>
    <s v="CS-429"/>
    <n v="429"/>
    <x v="0"/>
    <s v="Issue 410"/>
    <x v="0"/>
    <x v="0"/>
    <x v="0"/>
    <x v="5"/>
    <x v="1"/>
    <s v="Client 410"/>
    <x v="60"/>
    <m/>
    <x v="2"/>
  </r>
  <r>
    <s v="CS-430"/>
    <n v="430"/>
    <x v="1"/>
    <s v="Issue 411"/>
    <x v="1"/>
    <x v="1"/>
    <x v="0"/>
    <x v="5"/>
    <x v="4"/>
    <s v="Client 411"/>
    <x v="61"/>
    <m/>
    <x v="39"/>
  </r>
  <r>
    <s v="CS-431"/>
    <n v="431"/>
    <x v="0"/>
    <s v="Issue 412"/>
    <x v="0"/>
    <x v="0"/>
    <x v="0"/>
    <x v="5"/>
    <x v="1"/>
    <s v="Client 412"/>
    <x v="61"/>
    <m/>
    <x v="39"/>
  </r>
  <r>
    <s v="CS-432"/>
    <n v="432"/>
    <x v="0"/>
    <s v="Issue 413"/>
    <x v="1"/>
    <x v="1"/>
    <x v="0"/>
    <x v="5"/>
    <x v="3"/>
    <s v="Client 413"/>
    <x v="61"/>
    <m/>
    <x v="39"/>
  </r>
  <r>
    <s v="CS-433"/>
    <n v="433"/>
    <x v="0"/>
    <s v="Issue 414"/>
    <x v="1"/>
    <x v="0"/>
    <x v="0"/>
    <x v="5"/>
    <x v="5"/>
    <s v="Client 414"/>
    <x v="61"/>
    <m/>
    <x v="29"/>
  </r>
  <r>
    <s v="CS-434"/>
    <n v="434"/>
    <x v="0"/>
    <s v="Issue 415"/>
    <x v="0"/>
    <x v="0"/>
    <x v="0"/>
    <x v="5"/>
    <x v="4"/>
    <s v="Client 415"/>
    <x v="61"/>
    <m/>
    <x v="2"/>
  </r>
  <r>
    <s v="CS-435"/>
    <n v="435"/>
    <x v="0"/>
    <s v="Issue 416"/>
    <x v="1"/>
    <x v="0"/>
    <x v="0"/>
    <x v="5"/>
    <x v="1"/>
    <s v="Client 416"/>
    <x v="62"/>
    <m/>
    <x v="29"/>
  </r>
  <r>
    <s v="CS-436"/>
    <n v="436"/>
    <x v="0"/>
    <s v="Issue 417"/>
    <x v="0"/>
    <x v="0"/>
    <x v="0"/>
    <x v="5"/>
    <x v="3"/>
    <s v="Client 417"/>
    <x v="62"/>
    <m/>
    <x v="39"/>
  </r>
  <r>
    <s v="CS-437"/>
    <n v="437"/>
    <x v="0"/>
    <s v="Issue 418"/>
    <x v="0"/>
    <x v="0"/>
    <x v="0"/>
    <x v="5"/>
    <x v="5"/>
    <s v="Client 418"/>
    <x v="62"/>
    <m/>
    <x v="39"/>
  </r>
  <r>
    <s v="CS-438"/>
    <n v="438"/>
    <x v="0"/>
    <s v="Issue 419"/>
    <x v="0"/>
    <x v="0"/>
    <x v="0"/>
    <x v="5"/>
    <x v="3"/>
    <s v="Client 419"/>
    <x v="62"/>
    <m/>
    <x v="47"/>
  </r>
  <r>
    <s v="CS-439"/>
    <n v="439"/>
    <x v="0"/>
    <s v="Issue 420"/>
    <x v="0"/>
    <x v="0"/>
    <x v="0"/>
    <x v="5"/>
    <x v="3"/>
    <s v="Client 420"/>
    <x v="62"/>
    <m/>
    <x v="29"/>
  </r>
  <r>
    <s v="CS-440"/>
    <n v="440"/>
    <x v="0"/>
    <s v="Issue 421"/>
    <x v="0"/>
    <x v="0"/>
    <x v="0"/>
    <x v="5"/>
    <x v="3"/>
    <s v="Client 421"/>
    <x v="62"/>
    <m/>
    <x v="38"/>
  </r>
  <r>
    <s v="CS-441"/>
    <n v="441"/>
    <x v="0"/>
    <s v="Issue 422"/>
    <x v="0"/>
    <x v="0"/>
    <x v="0"/>
    <x v="5"/>
    <x v="3"/>
    <s v="Client 422"/>
    <x v="62"/>
    <m/>
    <x v="39"/>
  </r>
  <r>
    <s v="CS-442"/>
    <n v="442"/>
    <x v="0"/>
    <s v="Issue 423"/>
    <x v="1"/>
    <x v="2"/>
    <x v="0"/>
    <x v="5"/>
    <x v="5"/>
    <s v="Client 423"/>
    <x v="63"/>
    <m/>
    <x v="39"/>
  </r>
  <r>
    <s v="CS-443"/>
    <n v="443"/>
    <x v="0"/>
    <s v="Issue 424"/>
    <x v="0"/>
    <x v="0"/>
    <x v="0"/>
    <x v="5"/>
    <x v="5"/>
    <s v="Client 424"/>
    <x v="63"/>
    <m/>
    <x v="38"/>
  </r>
  <r>
    <s v="CS-444"/>
    <n v="444"/>
    <x v="0"/>
    <s v="Issue 425"/>
    <x v="0"/>
    <x v="0"/>
    <x v="0"/>
    <x v="5"/>
    <x v="3"/>
    <s v="Client 425"/>
    <x v="63"/>
    <m/>
    <x v="47"/>
  </r>
  <r>
    <s v="CS-445"/>
    <n v="445"/>
    <x v="0"/>
    <s v="Issue 426"/>
    <x v="0"/>
    <x v="0"/>
    <x v="0"/>
    <x v="0"/>
    <x v="4"/>
    <s v="Client 426"/>
    <x v="63"/>
    <m/>
    <x v="39"/>
  </r>
  <r>
    <s v="CS-446"/>
    <n v="446"/>
    <x v="0"/>
    <s v="Issue 427"/>
    <x v="0"/>
    <x v="0"/>
    <x v="0"/>
    <x v="5"/>
    <x v="4"/>
    <s v="Client 427"/>
    <x v="63"/>
    <m/>
    <x v="48"/>
  </r>
  <r>
    <s v="CS-447"/>
    <n v="447"/>
    <x v="0"/>
    <s v="Issue 428"/>
    <x v="0"/>
    <x v="0"/>
    <x v="0"/>
    <x v="5"/>
    <x v="3"/>
    <s v="Client 428"/>
    <x v="64"/>
    <m/>
    <x v="39"/>
  </r>
  <r>
    <s v="CS-448"/>
    <n v="448"/>
    <x v="0"/>
    <s v="Issue 429"/>
    <x v="1"/>
    <x v="1"/>
    <x v="0"/>
    <x v="5"/>
    <x v="3"/>
    <s v="Client 429"/>
    <x v="64"/>
    <m/>
    <x v="49"/>
  </r>
  <r>
    <s v="CS-449"/>
    <n v="449"/>
    <x v="0"/>
    <s v="Issue 430"/>
    <x v="0"/>
    <x v="0"/>
    <x v="0"/>
    <x v="5"/>
    <x v="3"/>
    <s v="Client 430"/>
    <x v="65"/>
    <m/>
    <x v="49"/>
  </r>
  <r>
    <s v="CS-450"/>
    <n v="450"/>
    <x v="0"/>
    <s v="Issue 431"/>
    <x v="1"/>
    <x v="0"/>
    <x v="0"/>
    <x v="7"/>
    <x v="4"/>
    <s v="Client 431"/>
    <x v="65"/>
    <m/>
    <x v="29"/>
  </r>
  <r>
    <s v="CS-451"/>
    <n v="451"/>
    <x v="0"/>
    <s v="Issue 432"/>
    <x v="0"/>
    <x v="0"/>
    <x v="0"/>
    <x v="5"/>
    <x v="3"/>
    <s v="Client 432"/>
    <x v="65"/>
    <m/>
    <x v="48"/>
  </r>
  <r>
    <s v="CS-452"/>
    <n v="452"/>
    <x v="0"/>
    <s v="Issue 433"/>
    <x v="0"/>
    <x v="1"/>
    <x v="0"/>
    <x v="5"/>
    <x v="0"/>
    <s v="Client 433"/>
    <x v="66"/>
    <m/>
    <x v="40"/>
  </r>
  <r>
    <s v="CS-453"/>
    <n v="453"/>
    <x v="0"/>
    <s v="Issue 434"/>
    <x v="0"/>
    <x v="0"/>
    <x v="0"/>
    <x v="0"/>
    <x v="0"/>
    <s v="Client 434"/>
    <x v="66"/>
    <m/>
    <x v="22"/>
  </r>
  <r>
    <s v="CS-454"/>
    <n v="454"/>
    <x v="0"/>
    <s v="Issue 435"/>
    <x v="1"/>
    <x v="0"/>
    <x v="0"/>
    <x v="0"/>
    <x v="3"/>
    <s v="Client 435"/>
    <x v="67"/>
    <m/>
    <x v="39"/>
  </r>
  <r>
    <s v="CS-455"/>
    <n v="455"/>
    <x v="0"/>
    <s v="Issue 436"/>
    <x v="0"/>
    <x v="0"/>
    <x v="0"/>
    <x v="5"/>
    <x v="1"/>
    <s v="Client 436"/>
    <x v="67"/>
    <m/>
    <x v="50"/>
  </r>
  <r>
    <s v="CS-456"/>
    <n v="456"/>
    <x v="0"/>
    <s v="Issue 437"/>
    <x v="0"/>
    <x v="0"/>
    <x v="0"/>
    <x v="0"/>
    <x v="3"/>
    <s v="Client 437"/>
    <x v="67"/>
    <m/>
    <x v="51"/>
  </r>
  <r>
    <s v="CS-457"/>
    <n v="457"/>
    <x v="0"/>
    <s v="Issue 438"/>
    <x v="0"/>
    <x v="0"/>
    <x v="0"/>
    <x v="2"/>
    <x v="3"/>
    <s v="Client 438"/>
    <x v="68"/>
    <m/>
    <x v="6"/>
  </r>
  <r>
    <s v="CS-458"/>
    <n v="458"/>
    <x v="0"/>
    <s v="Issue 439"/>
    <x v="0"/>
    <x v="0"/>
    <x v="0"/>
    <x v="5"/>
    <x v="3"/>
    <s v="Client 439"/>
    <x v="67"/>
    <m/>
    <x v="52"/>
  </r>
  <r>
    <s v="CS-459"/>
    <n v="459"/>
    <x v="0"/>
    <s v="Issue 440"/>
    <x v="0"/>
    <x v="0"/>
    <x v="0"/>
    <x v="5"/>
    <x v="3"/>
    <s v="Client 440"/>
    <x v="67"/>
    <m/>
    <x v="53"/>
  </r>
  <r>
    <s v="CS-460"/>
    <n v="460"/>
    <x v="0"/>
    <s v="Issue 441"/>
    <x v="1"/>
    <x v="0"/>
    <x v="0"/>
    <x v="7"/>
    <x v="6"/>
    <s v="Client 441"/>
    <x v="64"/>
    <m/>
    <x v="39"/>
  </r>
  <r>
    <s v="CS-461"/>
    <n v="461"/>
    <x v="0"/>
    <s v="Issue 442"/>
    <x v="0"/>
    <x v="0"/>
    <x v="0"/>
    <x v="5"/>
    <x v="4"/>
    <s v="Client 442"/>
    <x v="64"/>
    <m/>
    <x v="39"/>
  </r>
  <r>
    <s v="CS-462"/>
    <n v="462"/>
    <x v="0"/>
    <s v="Issue 443"/>
    <x v="1"/>
    <x v="0"/>
    <x v="0"/>
    <x v="5"/>
    <x v="3"/>
    <s v="Client 443"/>
    <x v="69"/>
    <m/>
    <x v="53"/>
  </r>
  <r>
    <s v="CS-463"/>
    <n v="463"/>
    <x v="0"/>
    <s v="Issue 444"/>
    <x v="1"/>
    <x v="0"/>
    <x v="0"/>
    <x v="5"/>
    <x v="5"/>
    <s v="Client 444"/>
    <x v="69"/>
    <m/>
    <x v="53"/>
  </r>
  <r>
    <s v="CS-464"/>
    <n v="464"/>
    <x v="0"/>
    <s v="Issue 445"/>
    <x v="0"/>
    <x v="0"/>
    <x v="0"/>
    <x v="5"/>
    <x v="3"/>
    <s v="Client 445"/>
    <x v="69"/>
    <m/>
    <x v="53"/>
  </r>
  <r>
    <s v="CS-465"/>
    <n v="465"/>
    <x v="0"/>
    <s v="Issue 446"/>
    <x v="0"/>
    <x v="0"/>
    <x v="0"/>
    <x v="2"/>
    <x v="5"/>
    <s v="Client 446"/>
    <x v="70"/>
    <m/>
    <x v="42"/>
  </r>
  <r>
    <s v="CS-466"/>
    <n v="466"/>
    <x v="0"/>
    <s v="Issue 447"/>
    <x v="0"/>
    <x v="0"/>
    <x v="0"/>
    <x v="0"/>
    <x v="3"/>
    <s v="Client 447"/>
    <x v="70"/>
    <m/>
    <x v="39"/>
  </r>
  <r>
    <s v="CS-467"/>
    <n v="467"/>
    <x v="0"/>
    <s v="Issue 448"/>
    <x v="0"/>
    <x v="0"/>
    <x v="0"/>
    <x v="5"/>
    <x v="4"/>
    <s v="Client 448"/>
    <x v="70"/>
    <m/>
    <x v="54"/>
  </r>
  <r>
    <s v="CS-468"/>
    <n v="468"/>
    <x v="0"/>
    <s v="Issue 449"/>
    <x v="0"/>
    <x v="0"/>
    <x v="0"/>
    <x v="5"/>
    <x v="3"/>
    <s v="Client 449"/>
    <x v="70"/>
    <m/>
    <x v="6"/>
  </r>
  <r>
    <s v="CS-469"/>
    <n v="469"/>
    <x v="0"/>
    <s v="Issue 450"/>
    <x v="1"/>
    <x v="0"/>
    <x v="0"/>
    <x v="0"/>
    <x v="7"/>
    <s v="Client 450"/>
    <x v="71"/>
    <m/>
    <x v="6"/>
  </r>
  <r>
    <s v="CS-470"/>
    <n v="470"/>
    <x v="0"/>
    <s v="Issue 451"/>
    <x v="0"/>
    <x v="0"/>
    <x v="0"/>
    <x v="5"/>
    <x v="1"/>
    <s v="Client 451"/>
    <x v="72"/>
    <m/>
    <x v="55"/>
  </r>
  <r>
    <s v="CS-471"/>
    <n v="471"/>
    <x v="0"/>
    <s v="Issue 452"/>
    <x v="0"/>
    <x v="0"/>
    <x v="0"/>
    <x v="0"/>
    <x v="4"/>
    <s v="Client 452"/>
    <x v="72"/>
    <m/>
    <x v="48"/>
  </r>
  <r>
    <s v="CS-472"/>
    <n v="472"/>
    <x v="1"/>
    <s v="Issue 453"/>
    <x v="1"/>
    <x v="0"/>
    <x v="0"/>
    <x v="8"/>
    <x v="0"/>
    <s v="Client 453"/>
    <x v="72"/>
    <m/>
    <x v="56"/>
  </r>
  <r>
    <s v="CS-473"/>
    <n v="473"/>
    <x v="0"/>
    <s v="Issue 454"/>
    <x v="1"/>
    <x v="0"/>
    <x v="0"/>
    <x v="5"/>
    <x v="5"/>
    <s v="Client 454"/>
    <x v="72"/>
    <m/>
    <x v="57"/>
  </r>
  <r>
    <s v="CS-474"/>
    <n v="474"/>
    <x v="0"/>
    <s v="Issue 455"/>
    <x v="1"/>
    <x v="0"/>
    <x v="0"/>
    <x v="5"/>
    <x v="3"/>
    <s v="Client 455"/>
    <x v="73"/>
    <m/>
    <x v="58"/>
  </r>
  <r>
    <s v="CS-475"/>
    <n v="475"/>
    <x v="0"/>
    <s v="Issue 456"/>
    <x v="0"/>
    <x v="0"/>
    <x v="0"/>
    <x v="5"/>
    <x v="1"/>
    <s v="Client 456"/>
    <x v="73"/>
    <m/>
    <x v="6"/>
  </r>
  <r>
    <s v="CS-476"/>
    <n v="476"/>
    <x v="0"/>
    <s v="Issue 457"/>
    <x v="0"/>
    <x v="0"/>
    <x v="0"/>
    <x v="2"/>
    <x v="5"/>
    <s v="Client 457"/>
    <x v="73"/>
    <m/>
    <x v="48"/>
  </r>
  <r>
    <s v="CS-477"/>
    <n v="477"/>
    <x v="0"/>
    <s v="Issue 458"/>
    <x v="0"/>
    <x v="0"/>
    <x v="0"/>
    <x v="5"/>
    <x v="3"/>
    <s v="Client 458"/>
    <x v="73"/>
    <m/>
    <x v="48"/>
  </r>
  <r>
    <s v="CS-478"/>
    <n v="478"/>
    <x v="0"/>
    <s v="Issue 459"/>
    <x v="0"/>
    <x v="0"/>
    <x v="0"/>
    <x v="5"/>
    <x v="4"/>
    <s v="Client 459"/>
    <x v="73"/>
    <m/>
    <x v="59"/>
  </r>
  <r>
    <s v="CS-479"/>
    <n v="479"/>
    <x v="0"/>
    <s v="Issue 460"/>
    <x v="1"/>
    <x v="0"/>
    <x v="0"/>
    <x v="5"/>
    <x v="3"/>
    <s v="Client 460"/>
    <x v="73"/>
    <m/>
    <x v="48"/>
  </r>
  <r>
    <s v="CS-480"/>
    <n v="480"/>
    <x v="0"/>
    <s v="Issue 461"/>
    <x v="0"/>
    <x v="0"/>
    <x v="0"/>
    <x v="5"/>
    <x v="3"/>
    <s v="Client 461"/>
    <x v="73"/>
    <m/>
    <x v="2"/>
  </r>
  <r>
    <s v="CS-481"/>
    <n v="481"/>
    <x v="0"/>
    <s v="Issue 462"/>
    <x v="0"/>
    <x v="0"/>
    <x v="0"/>
    <x v="5"/>
    <x v="3"/>
    <s v="Client 462"/>
    <x v="59"/>
    <m/>
    <x v="48"/>
  </r>
  <r>
    <s v="CS-482"/>
    <n v="482"/>
    <x v="0"/>
    <s v="Issue 463"/>
    <x v="1"/>
    <x v="0"/>
    <x v="0"/>
    <x v="7"/>
    <x v="3"/>
    <s v="Client 463"/>
    <x v="59"/>
    <m/>
    <x v="60"/>
  </r>
  <r>
    <s v="CS-483"/>
    <n v="483"/>
    <x v="0"/>
    <s v="Issue 464"/>
    <x v="0"/>
    <x v="0"/>
    <x v="0"/>
    <x v="5"/>
    <x v="1"/>
    <s v="Client 464"/>
    <x v="59"/>
    <m/>
    <x v="59"/>
  </r>
  <r>
    <s v="CS-484"/>
    <n v="484"/>
    <x v="0"/>
    <s v="Issue 465"/>
    <x v="1"/>
    <x v="0"/>
    <x v="0"/>
    <x v="5"/>
    <x v="3"/>
    <s v="Client 465"/>
    <x v="59"/>
    <m/>
    <x v="6"/>
  </r>
  <r>
    <s v="CS-485"/>
    <n v="485"/>
    <x v="0"/>
    <s v="Issue 466"/>
    <x v="1"/>
    <x v="0"/>
    <x v="0"/>
    <x v="0"/>
    <x v="3"/>
    <s v="Client 466"/>
    <x v="74"/>
    <m/>
    <x v="61"/>
  </r>
  <r>
    <s v="CS-486"/>
    <n v="486"/>
    <x v="0"/>
    <s v="Issue 467"/>
    <x v="0"/>
    <x v="0"/>
    <x v="0"/>
    <x v="5"/>
    <x v="3"/>
    <s v="Client 467"/>
    <x v="74"/>
    <m/>
    <x v="59"/>
  </r>
  <r>
    <s v="CS-487"/>
    <n v="487"/>
    <x v="0"/>
    <s v="Issue 468"/>
    <x v="0"/>
    <x v="0"/>
    <x v="0"/>
    <x v="0"/>
    <x v="4"/>
    <s v="Client 468"/>
    <x v="75"/>
    <m/>
    <x v="62"/>
  </r>
  <r>
    <s v="CS-488"/>
    <n v="488"/>
    <x v="0"/>
    <s v="Issue 469"/>
    <x v="0"/>
    <x v="0"/>
    <x v="0"/>
    <x v="0"/>
    <x v="3"/>
    <s v="Client 469"/>
    <x v="75"/>
    <m/>
    <x v="22"/>
  </r>
  <r>
    <s v="CS-489"/>
    <n v="489"/>
    <x v="0"/>
    <s v="Issue 470"/>
    <x v="0"/>
    <x v="0"/>
    <x v="0"/>
    <x v="0"/>
    <x v="3"/>
    <s v="Client 470"/>
    <x v="59"/>
    <m/>
    <x v="63"/>
  </r>
  <r>
    <s v="CS-490"/>
    <n v="490"/>
    <x v="1"/>
    <s v="Issue 471"/>
    <x v="1"/>
    <x v="0"/>
    <x v="0"/>
    <x v="8"/>
    <x v="0"/>
    <s v="Client 471"/>
    <x v="60"/>
    <m/>
    <x v="64"/>
  </r>
  <r>
    <s v="CS-491"/>
    <n v="491"/>
    <x v="1"/>
    <s v="Issue 472"/>
    <x v="1"/>
    <x v="0"/>
    <x v="0"/>
    <x v="8"/>
    <x v="0"/>
    <s v="Client 472"/>
    <x v="76"/>
    <m/>
    <x v="65"/>
  </r>
  <r>
    <s v="CS-492"/>
    <n v="492"/>
    <x v="0"/>
    <s v="Issue 473"/>
    <x v="1"/>
    <x v="0"/>
    <x v="0"/>
    <x v="1"/>
    <x v="0"/>
    <s v="Client 473"/>
    <x v="76"/>
    <m/>
    <x v="22"/>
  </r>
  <r>
    <s v="CS-493"/>
    <n v="493"/>
    <x v="0"/>
    <s v="Issue 474"/>
    <x v="1"/>
    <x v="0"/>
    <x v="0"/>
    <x v="7"/>
    <x v="5"/>
    <s v="Client 474"/>
    <x v="76"/>
    <m/>
    <x v="29"/>
  </r>
  <r>
    <s v="CS-494"/>
    <n v="494"/>
    <x v="0"/>
    <s v="Issue 475"/>
    <x v="1"/>
    <x v="0"/>
    <x v="0"/>
    <x v="5"/>
    <x v="3"/>
    <s v="Client 475"/>
    <x v="76"/>
    <m/>
    <x v="66"/>
  </r>
  <r>
    <s v="CS-495"/>
    <n v="495"/>
    <x v="1"/>
    <s v="Issue 476"/>
    <x v="1"/>
    <x v="0"/>
    <x v="0"/>
    <x v="8"/>
    <x v="5"/>
    <s v="Client 476"/>
    <x v="77"/>
    <m/>
    <x v="64"/>
  </r>
  <r>
    <s v="CS-496"/>
    <n v="496"/>
    <x v="0"/>
    <s v="Issue 477"/>
    <x v="1"/>
    <x v="0"/>
    <x v="0"/>
    <x v="7"/>
    <x v="3"/>
    <s v="Client 477"/>
    <x v="78"/>
    <m/>
    <x v="67"/>
  </r>
  <r>
    <s v="CS-497"/>
    <n v="497"/>
    <x v="0"/>
    <s v="Issue 478"/>
    <x v="1"/>
    <x v="0"/>
    <x v="0"/>
    <x v="5"/>
    <x v="2"/>
    <s v="Client 478"/>
    <x v="78"/>
    <m/>
    <x v="68"/>
  </r>
  <r>
    <s v="CS-498"/>
    <n v="498"/>
    <x v="0"/>
    <s v="Issue 479"/>
    <x v="0"/>
    <x v="0"/>
    <x v="0"/>
    <x v="5"/>
    <x v="3"/>
    <s v="Client 479"/>
    <x v="78"/>
    <m/>
    <x v="69"/>
  </r>
  <r>
    <s v="CS-499"/>
    <n v="499"/>
    <x v="0"/>
    <s v="Issue 480"/>
    <x v="0"/>
    <x v="0"/>
    <x v="0"/>
    <x v="5"/>
    <x v="4"/>
    <s v="Client 480"/>
    <x v="79"/>
    <m/>
    <x v="62"/>
  </r>
  <r>
    <s v="CS-500"/>
    <n v="500"/>
    <x v="0"/>
    <s v="Issue 481"/>
    <x v="1"/>
    <x v="0"/>
    <x v="0"/>
    <x v="7"/>
    <x v="1"/>
    <s v="Client 481"/>
    <x v="79"/>
    <m/>
    <x v="40"/>
  </r>
  <r>
    <s v="CS-501"/>
    <n v="501"/>
    <x v="0"/>
    <s v="Issue 482"/>
    <x v="0"/>
    <x v="0"/>
    <x v="0"/>
    <x v="7"/>
    <x v="2"/>
    <s v="Client 482"/>
    <x v="79"/>
    <m/>
    <x v="28"/>
  </r>
  <r>
    <s v="CS-502"/>
    <n v="502"/>
    <x v="0"/>
    <s v="Issue 483"/>
    <x v="0"/>
    <x v="0"/>
    <x v="0"/>
    <x v="5"/>
    <x v="1"/>
    <s v="Client 483"/>
    <x v="79"/>
    <m/>
    <x v="68"/>
  </r>
  <r>
    <s v="CS-503"/>
    <n v="503"/>
    <x v="0"/>
    <s v="Issue 484"/>
    <x v="0"/>
    <x v="0"/>
    <x v="0"/>
    <x v="5"/>
    <x v="3"/>
    <s v="Client 484"/>
    <x v="79"/>
    <m/>
    <x v="28"/>
  </r>
  <r>
    <s v="CS-504"/>
    <n v="504"/>
    <x v="0"/>
    <s v="Issue 485"/>
    <x v="0"/>
    <x v="0"/>
    <x v="0"/>
    <x v="0"/>
    <x v="3"/>
    <s v="Client 485"/>
    <x v="79"/>
    <m/>
    <x v="28"/>
  </r>
  <r>
    <s v="CS-505"/>
    <n v="505"/>
    <x v="0"/>
    <s v="Issue 486"/>
    <x v="0"/>
    <x v="0"/>
    <x v="0"/>
    <x v="7"/>
    <x v="4"/>
    <s v="Client 486"/>
    <x v="79"/>
    <m/>
    <x v="28"/>
  </r>
  <r>
    <s v="CS-506"/>
    <n v="506"/>
    <x v="0"/>
    <s v="Issue 487"/>
    <x v="1"/>
    <x v="0"/>
    <x v="0"/>
    <x v="7"/>
    <x v="3"/>
    <s v="Client 487"/>
    <x v="79"/>
    <m/>
    <x v="40"/>
  </r>
  <r>
    <s v="CS-507"/>
    <n v="507"/>
    <x v="0"/>
    <s v="Issue 488"/>
    <x v="0"/>
    <x v="0"/>
    <x v="0"/>
    <x v="7"/>
    <x v="1"/>
    <s v="Client 488"/>
    <x v="79"/>
    <m/>
    <x v="66"/>
  </r>
  <r>
    <s v="CS-508"/>
    <n v="508"/>
    <x v="0"/>
    <s v="Issue 489"/>
    <x v="0"/>
    <x v="0"/>
    <x v="0"/>
    <x v="5"/>
    <x v="4"/>
    <s v="Client 489"/>
    <x v="79"/>
    <m/>
    <x v="66"/>
  </r>
  <r>
    <s v="CS-509"/>
    <n v="509"/>
    <x v="0"/>
    <s v="Issue 490"/>
    <x v="0"/>
    <x v="0"/>
    <x v="0"/>
    <x v="0"/>
    <x v="7"/>
    <s v="Client 490"/>
    <x v="80"/>
    <m/>
    <x v="1"/>
  </r>
  <r>
    <s v="CS-510"/>
    <n v="510"/>
    <x v="0"/>
    <s v="Issue 491"/>
    <x v="1"/>
    <x v="0"/>
    <x v="0"/>
    <x v="5"/>
    <x v="7"/>
    <s v="Client 491"/>
    <x v="80"/>
    <m/>
    <x v="53"/>
  </r>
  <r>
    <s v="CS-511"/>
    <n v="511"/>
    <x v="0"/>
    <s v="Issue 492"/>
    <x v="0"/>
    <x v="0"/>
    <x v="0"/>
    <x v="0"/>
    <x v="3"/>
    <s v="Client 492"/>
    <x v="80"/>
    <m/>
    <x v="70"/>
  </r>
  <r>
    <s v="CS-512"/>
    <n v="512"/>
    <x v="0"/>
    <s v="Issue 493"/>
    <x v="1"/>
    <x v="0"/>
    <x v="0"/>
    <x v="5"/>
    <x v="0"/>
    <s v="Client 493"/>
    <x v="80"/>
    <m/>
    <x v="71"/>
  </r>
  <r>
    <s v="CS-513"/>
    <n v="513"/>
    <x v="0"/>
    <s v="Issue 494"/>
    <x v="0"/>
    <x v="0"/>
    <x v="0"/>
    <x v="5"/>
    <x v="3"/>
    <s v="Client 494"/>
    <x v="80"/>
    <m/>
    <x v="23"/>
  </r>
  <r>
    <s v="CS-514"/>
    <n v="514"/>
    <x v="0"/>
    <s v="Issue 495"/>
    <x v="0"/>
    <x v="0"/>
    <x v="0"/>
    <x v="2"/>
    <x v="4"/>
    <s v="Client 495"/>
    <x v="80"/>
    <m/>
    <x v="1"/>
  </r>
  <r>
    <s v="CS-515"/>
    <n v="515"/>
    <x v="0"/>
    <s v="Issue 496"/>
    <x v="1"/>
    <x v="0"/>
    <x v="0"/>
    <x v="5"/>
    <x v="3"/>
    <s v="Client 496"/>
    <x v="80"/>
    <m/>
    <x v="6"/>
  </r>
  <r>
    <s v="CS-516"/>
    <n v="516"/>
    <x v="0"/>
    <s v="Issue 497"/>
    <x v="0"/>
    <x v="0"/>
    <x v="0"/>
    <x v="5"/>
    <x v="3"/>
    <s v="Client 497"/>
    <x v="80"/>
    <m/>
    <x v="1"/>
  </r>
  <r>
    <s v="CS-517"/>
    <n v="517"/>
    <x v="0"/>
    <s v="Issue 498"/>
    <x v="0"/>
    <x v="0"/>
    <x v="0"/>
    <x v="0"/>
    <x v="4"/>
    <s v="Client 498"/>
    <x v="81"/>
    <m/>
    <x v="1"/>
  </r>
  <r>
    <s v="CS-518"/>
    <n v="518"/>
    <x v="0"/>
    <s v="Issue 499"/>
    <x v="0"/>
    <x v="0"/>
    <x v="0"/>
    <x v="5"/>
    <x v="3"/>
    <s v="Client 499"/>
    <x v="81"/>
    <m/>
    <x v="1"/>
  </r>
  <r>
    <s v="CS-519"/>
    <n v="519"/>
    <x v="0"/>
    <s v="Issue 500"/>
    <x v="0"/>
    <x v="0"/>
    <x v="0"/>
    <x v="0"/>
    <x v="4"/>
    <s v="Client 500"/>
    <x v="82"/>
    <m/>
    <x v="1"/>
  </r>
  <r>
    <s v="CS-520"/>
    <n v="520"/>
    <x v="0"/>
    <s v="Issue 501"/>
    <x v="0"/>
    <x v="0"/>
    <x v="0"/>
    <x v="2"/>
    <x v="5"/>
    <s v="Client 501"/>
    <x v="83"/>
    <m/>
    <x v="1"/>
  </r>
  <r>
    <s v="CS-521"/>
    <n v="521"/>
    <x v="0"/>
    <s v="Issue 502"/>
    <x v="0"/>
    <x v="0"/>
    <x v="0"/>
    <x v="5"/>
    <x v="0"/>
    <s v="Client 502"/>
    <x v="83"/>
    <m/>
    <x v="1"/>
  </r>
  <r>
    <s v="CS-522"/>
    <n v="522"/>
    <x v="0"/>
    <s v="Issue 503"/>
    <x v="1"/>
    <x v="0"/>
    <x v="0"/>
    <x v="0"/>
    <x v="5"/>
    <s v="Client 503"/>
    <x v="83"/>
    <m/>
    <x v="72"/>
  </r>
  <r>
    <s v="CS-523"/>
    <n v="523"/>
    <x v="0"/>
    <s v="Issue 504"/>
    <x v="1"/>
    <x v="0"/>
    <x v="0"/>
    <x v="7"/>
    <x v="2"/>
    <s v="Client 504"/>
    <x v="83"/>
    <m/>
    <x v="3"/>
  </r>
  <r>
    <s v="CS-524"/>
    <n v="524"/>
    <x v="0"/>
    <s v="Issue 505"/>
    <x v="0"/>
    <x v="0"/>
    <x v="0"/>
    <x v="7"/>
    <x v="7"/>
    <s v="Client 505"/>
    <x v="83"/>
    <m/>
    <x v="1"/>
  </r>
  <r>
    <s v="CS-525"/>
    <n v="525"/>
    <x v="0"/>
    <s v="Issue 506"/>
    <x v="0"/>
    <x v="0"/>
    <x v="0"/>
    <x v="0"/>
    <x v="3"/>
    <s v="Client 506"/>
    <x v="83"/>
    <m/>
    <x v="1"/>
  </r>
  <r>
    <s v="CS-526"/>
    <n v="526"/>
    <x v="0"/>
    <s v="Issue 507"/>
    <x v="0"/>
    <x v="0"/>
    <x v="0"/>
    <x v="2"/>
    <x v="4"/>
    <s v="Client 507"/>
    <x v="83"/>
    <m/>
    <x v="1"/>
  </r>
  <r>
    <s v="CS-527"/>
    <n v="527"/>
    <x v="0"/>
    <s v="Issue 508"/>
    <x v="0"/>
    <x v="0"/>
    <x v="0"/>
    <x v="5"/>
    <x v="1"/>
    <s v="Client 508"/>
    <x v="83"/>
    <m/>
    <x v="1"/>
  </r>
  <r>
    <s v="CS-528"/>
    <n v="528"/>
    <x v="0"/>
    <s v="Issue 509"/>
    <x v="0"/>
    <x v="0"/>
    <x v="0"/>
    <x v="5"/>
    <x v="1"/>
    <s v="Client 509"/>
    <x v="84"/>
    <m/>
    <x v="1"/>
  </r>
  <r>
    <s v="CS-529"/>
    <n v="529"/>
    <x v="0"/>
    <s v="Issue 510"/>
    <x v="1"/>
    <x v="0"/>
    <x v="0"/>
    <x v="0"/>
    <x v="3"/>
    <s v="Client 510"/>
    <x v="84"/>
    <m/>
    <x v="66"/>
  </r>
  <r>
    <s v="CS-530"/>
    <n v="530"/>
    <x v="0"/>
    <s v="Issue 511"/>
    <x v="1"/>
    <x v="0"/>
    <x v="0"/>
    <x v="0"/>
    <x v="4"/>
    <s v="Client 511"/>
    <x v="84"/>
    <m/>
    <x v="73"/>
  </r>
  <r>
    <s v="CS-531"/>
    <n v="531"/>
    <x v="0"/>
    <s v="Issue 512"/>
    <x v="1"/>
    <x v="0"/>
    <x v="0"/>
    <x v="0"/>
    <x v="3"/>
    <s v="Client 512"/>
    <x v="85"/>
    <m/>
    <x v="74"/>
  </r>
  <r>
    <s v="CS-532"/>
    <n v="532"/>
    <x v="1"/>
    <s v="Issue 513"/>
    <x v="3"/>
    <x v="0"/>
    <x v="0"/>
    <x v="8"/>
    <x v="0"/>
    <s v="Client 513"/>
    <x v="85"/>
    <m/>
    <x v="1"/>
  </r>
  <r>
    <s v="CS-533"/>
    <n v="533"/>
    <x v="0"/>
    <s v="Issue 514"/>
    <x v="0"/>
    <x v="0"/>
    <x v="0"/>
    <x v="5"/>
    <x v="1"/>
    <s v="Client 514"/>
    <x v="86"/>
    <m/>
    <x v="1"/>
  </r>
  <r>
    <s v="CS-534"/>
    <n v="534"/>
    <x v="0"/>
    <s v="Issue 515"/>
    <x v="0"/>
    <x v="0"/>
    <x v="0"/>
    <x v="0"/>
    <x v="3"/>
    <s v="Client 515"/>
    <x v="86"/>
    <m/>
    <x v="1"/>
  </r>
  <r>
    <s v="CS-535"/>
    <n v="535"/>
    <x v="0"/>
    <s v="Issue 516"/>
    <x v="0"/>
    <x v="0"/>
    <x v="0"/>
    <x v="0"/>
    <x v="1"/>
    <s v="Client 516"/>
    <x v="86"/>
    <m/>
    <x v="1"/>
  </r>
  <r>
    <s v="CS-536"/>
    <n v="536"/>
    <x v="0"/>
    <s v="Issue 517"/>
    <x v="0"/>
    <x v="0"/>
    <x v="0"/>
    <x v="5"/>
    <x v="3"/>
    <s v="Client 517"/>
    <x v="86"/>
    <m/>
    <x v="1"/>
  </r>
  <r>
    <s v="CS-537"/>
    <n v="537"/>
    <x v="0"/>
    <s v="Issue 518"/>
    <x v="0"/>
    <x v="0"/>
    <x v="0"/>
    <x v="5"/>
    <x v="1"/>
    <s v="Client 518"/>
    <x v="87"/>
    <m/>
    <x v="1"/>
  </r>
  <r>
    <s v="CS-538"/>
    <n v="538"/>
    <x v="0"/>
    <s v="Issue 519"/>
    <x v="3"/>
    <x v="1"/>
    <x v="0"/>
    <x v="0"/>
    <x v="6"/>
    <s v="Client 519"/>
    <x v="88"/>
    <m/>
    <x v="1"/>
  </r>
  <r>
    <s v="CS-539"/>
    <n v="539"/>
    <x v="0"/>
    <s v="Issue 520"/>
    <x v="1"/>
    <x v="0"/>
    <x v="0"/>
    <x v="0"/>
    <x v="4"/>
    <s v="Client 520"/>
    <x v="89"/>
    <m/>
    <x v="75"/>
  </r>
  <r>
    <s v="CS-540"/>
    <n v="540"/>
    <x v="0"/>
    <s v="Issue 521"/>
    <x v="1"/>
    <x v="0"/>
    <x v="0"/>
    <x v="0"/>
    <x v="3"/>
    <s v="Client 521"/>
    <x v="89"/>
    <m/>
    <x v="59"/>
  </r>
  <r>
    <s v="CS-541"/>
    <n v="541"/>
    <x v="0"/>
    <s v="Issue 522"/>
    <x v="1"/>
    <x v="0"/>
    <x v="0"/>
    <x v="9"/>
    <x v="3"/>
    <s v="Client 522"/>
    <x v="89"/>
    <m/>
    <x v="76"/>
  </r>
  <r>
    <s v="CS-542"/>
    <n v="542"/>
    <x v="0"/>
    <s v="Issue 523"/>
    <x v="0"/>
    <x v="0"/>
    <x v="0"/>
    <x v="0"/>
    <x v="3"/>
    <s v="Client 523"/>
    <x v="89"/>
    <m/>
    <x v="1"/>
  </r>
  <r>
    <s v="CS-543"/>
    <n v="543"/>
    <x v="0"/>
    <s v="Issue 524"/>
    <x v="1"/>
    <x v="0"/>
    <x v="0"/>
    <x v="9"/>
    <x v="4"/>
    <s v="Client 524"/>
    <x v="89"/>
    <m/>
    <x v="77"/>
  </r>
  <r>
    <s v="CS-544"/>
    <n v="544"/>
    <x v="0"/>
    <s v="Issue 525"/>
    <x v="0"/>
    <x v="0"/>
    <x v="0"/>
    <x v="0"/>
    <x v="3"/>
    <s v="Client 525"/>
    <x v="89"/>
    <m/>
    <x v="1"/>
  </r>
  <r>
    <s v="CS-545"/>
    <n v="545"/>
    <x v="0"/>
    <s v="Issue 526"/>
    <x v="0"/>
    <x v="0"/>
    <x v="0"/>
    <x v="0"/>
    <x v="3"/>
    <s v="Client 526"/>
    <x v="90"/>
    <m/>
    <x v="1"/>
  </r>
  <r>
    <s v="CS-546"/>
    <n v="546"/>
    <x v="0"/>
    <s v="Issue 527"/>
    <x v="1"/>
    <x v="1"/>
    <x v="0"/>
    <x v="7"/>
    <x v="5"/>
    <s v="Client 527"/>
    <x v="91"/>
    <m/>
    <x v="1"/>
  </r>
  <r>
    <s v="CS-547"/>
    <n v="547"/>
    <x v="0"/>
    <s v="Issue 528"/>
    <x v="0"/>
    <x v="0"/>
    <x v="0"/>
    <x v="2"/>
    <x v="4"/>
    <s v="Client 528"/>
    <x v="91"/>
    <m/>
    <x v="1"/>
  </r>
  <r>
    <s v="CS-548"/>
    <n v="548"/>
    <x v="0"/>
    <s v="Issue 529"/>
    <x v="1"/>
    <x v="0"/>
    <x v="0"/>
    <x v="0"/>
    <x v="7"/>
    <s v="Client 529"/>
    <x v="91"/>
    <m/>
    <x v="78"/>
  </r>
  <r>
    <s v="CS-549"/>
    <n v="549"/>
    <x v="0"/>
    <s v="Issue 530"/>
    <x v="0"/>
    <x v="0"/>
    <x v="0"/>
    <x v="7"/>
    <x v="4"/>
    <s v="Client 530"/>
    <x v="91"/>
    <m/>
    <x v="1"/>
  </r>
  <r>
    <s v="CS-550"/>
    <n v="550"/>
    <x v="0"/>
    <s v="Issue 531"/>
    <x v="1"/>
    <x v="0"/>
    <x v="0"/>
    <x v="9"/>
    <x v="0"/>
    <s v="Client 531"/>
    <x v="91"/>
    <m/>
    <x v="56"/>
  </r>
  <r>
    <s v="CS-551"/>
    <n v="551"/>
    <x v="0"/>
    <s v="Issue 532"/>
    <x v="0"/>
    <x v="0"/>
    <x v="0"/>
    <x v="7"/>
    <x v="1"/>
    <s v="Client 532"/>
    <x v="91"/>
    <m/>
    <x v="1"/>
  </r>
  <r>
    <s v="CS-552"/>
    <n v="552"/>
    <x v="0"/>
    <s v="Issue 533"/>
    <x v="0"/>
    <x v="0"/>
    <x v="0"/>
    <x v="2"/>
    <x v="3"/>
    <s v="Client 533"/>
    <x v="91"/>
    <m/>
    <x v="1"/>
  </r>
  <r>
    <s v="CS-553"/>
    <n v="553"/>
    <x v="0"/>
    <s v="Issue 534"/>
    <x v="1"/>
    <x v="0"/>
    <x v="0"/>
    <x v="9"/>
    <x v="3"/>
    <s v="Client 534"/>
    <x v="91"/>
    <m/>
    <x v="79"/>
  </r>
  <r>
    <s v="CS-554"/>
    <n v="554"/>
    <x v="0"/>
    <s v="Issue 535"/>
    <x v="0"/>
    <x v="0"/>
    <x v="0"/>
    <x v="7"/>
    <x v="2"/>
    <s v="Client 535"/>
    <x v="91"/>
    <m/>
    <x v="1"/>
  </r>
  <r>
    <s v="CS-555"/>
    <n v="555"/>
    <x v="0"/>
    <s v="Issue 536"/>
    <x v="1"/>
    <x v="0"/>
    <x v="0"/>
    <x v="9"/>
    <x v="4"/>
    <s v="Client 536"/>
    <x v="91"/>
    <m/>
    <x v="80"/>
  </r>
  <r>
    <s v="CS-556"/>
    <n v="556"/>
    <x v="0"/>
    <s v="Issue 537"/>
    <x v="1"/>
    <x v="0"/>
    <x v="0"/>
    <x v="5"/>
    <x v="3"/>
    <s v="Client 537"/>
    <x v="91"/>
    <m/>
    <x v="69"/>
  </r>
  <r>
    <s v="CS-557"/>
    <n v="557"/>
    <x v="0"/>
    <s v="Issue 538"/>
    <x v="1"/>
    <x v="0"/>
    <x v="0"/>
    <x v="0"/>
    <x v="3"/>
    <s v="Client 538"/>
    <x v="92"/>
    <m/>
    <x v="72"/>
  </r>
  <r>
    <s v="CS-558"/>
    <n v="558"/>
    <x v="0"/>
    <s v="Issue 539"/>
    <x v="1"/>
    <x v="0"/>
    <x v="0"/>
    <x v="0"/>
    <x v="3"/>
    <s v="Client 539"/>
    <x v="92"/>
    <m/>
    <x v="1"/>
  </r>
  <r>
    <s v="CS-559"/>
    <n v="559"/>
    <x v="0"/>
    <s v="Issue 540"/>
    <x v="1"/>
    <x v="0"/>
    <x v="0"/>
    <x v="0"/>
    <x v="0"/>
    <s v="Client 540"/>
    <x v="92"/>
    <m/>
    <x v="78"/>
  </r>
  <r>
    <s v="CS-560"/>
    <n v="560"/>
    <x v="0"/>
    <s v="Issue 541"/>
    <x v="1"/>
    <x v="0"/>
    <x v="0"/>
    <x v="0"/>
    <x v="4"/>
    <s v="Client 541"/>
    <x v="92"/>
    <m/>
    <x v="48"/>
  </r>
  <r>
    <s v="CS-561"/>
    <n v="561"/>
    <x v="0"/>
    <s v="Issue 542"/>
    <x v="0"/>
    <x v="0"/>
    <x v="0"/>
    <x v="7"/>
    <x v="0"/>
    <s v="Client 542"/>
    <x v="93"/>
    <m/>
    <x v="1"/>
  </r>
  <r>
    <s v="CS-562"/>
    <n v="562"/>
    <x v="0"/>
    <s v="Issue 543"/>
    <x v="0"/>
    <x v="0"/>
    <x v="0"/>
    <x v="5"/>
    <x v="3"/>
    <s v="Client 543"/>
    <x v="93"/>
    <m/>
    <x v="1"/>
  </r>
  <r>
    <s v="CS-563"/>
    <n v="563"/>
    <x v="1"/>
    <s v="Issue 544"/>
    <x v="0"/>
    <x v="0"/>
    <x v="0"/>
    <x v="7"/>
    <x v="2"/>
    <s v="Client 544"/>
    <x v="93"/>
    <m/>
    <x v="48"/>
  </r>
  <r>
    <s v="CS-564"/>
    <n v="564"/>
    <x v="0"/>
    <s v="Issue 545"/>
    <x v="0"/>
    <x v="0"/>
    <x v="0"/>
    <x v="7"/>
    <x v="0"/>
    <s v="Client 545"/>
    <x v="93"/>
    <m/>
    <x v="1"/>
  </r>
  <r>
    <s v="CS-565"/>
    <n v="565"/>
    <x v="1"/>
    <s v="Issue 546"/>
    <x v="1"/>
    <x v="1"/>
    <x v="0"/>
    <x v="7"/>
    <x v="3"/>
    <s v="Client 546"/>
    <x v="93"/>
    <m/>
    <x v="1"/>
  </r>
  <r>
    <s v="CS-566"/>
    <n v="566"/>
    <x v="1"/>
    <s v="Issue 547"/>
    <x v="1"/>
    <x v="0"/>
    <x v="0"/>
    <x v="0"/>
    <x v="5"/>
    <s v="Client 547"/>
    <x v="93"/>
    <m/>
    <x v="72"/>
  </r>
  <r>
    <s v="CS-567"/>
    <n v="567"/>
    <x v="0"/>
    <s v="Issue 548"/>
    <x v="1"/>
    <x v="1"/>
    <x v="0"/>
    <x v="5"/>
    <x v="3"/>
    <s v="Client 548"/>
    <x v="94"/>
    <m/>
    <x v="78"/>
  </r>
  <r>
    <s v="CS-568"/>
    <n v="568"/>
    <x v="0"/>
    <s v="Issue 549"/>
    <x v="0"/>
    <x v="0"/>
    <x v="0"/>
    <x v="0"/>
    <x v="3"/>
    <s v="Client 549"/>
    <x v="94"/>
    <m/>
    <x v="1"/>
  </r>
  <r>
    <s v="CS-569"/>
    <n v="569"/>
    <x v="0"/>
    <s v="Issue 550"/>
    <x v="1"/>
    <x v="0"/>
    <x v="0"/>
    <x v="5"/>
    <x v="3"/>
    <s v="Client 550"/>
    <x v="94"/>
    <m/>
    <x v="78"/>
  </r>
  <r>
    <s v="CS-570"/>
    <n v="570"/>
    <x v="0"/>
    <s v="Issue 551"/>
    <x v="0"/>
    <x v="0"/>
    <x v="0"/>
    <x v="7"/>
    <x v="1"/>
    <s v="Client 551"/>
    <x v="94"/>
    <m/>
    <x v="1"/>
  </r>
  <r>
    <s v="CS-571"/>
    <n v="571"/>
    <x v="0"/>
    <s v="Issue 552"/>
    <x v="1"/>
    <x v="0"/>
    <x v="0"/>
    <x v="7"/>
    <x v="5"/>
    <s v="Client 552"/>
    <x v="94"/>
    <m/>
    <x v="42"/>
  </r>
  <r>
    <s v="CS-572"/>
    <n v="572"/>
    <x v="0"/>
    <s v="Issue 553"/>
    <x v="1"/>
    <x v="0"/>
    <x v="0"/>
    <x v="0"/>
    <x v="4"/>
    <s v="Client 553"/>
    <x v="94"/>
    <m/>
    <x v="81"/>
  </r>
  <r>
    <s v="CS-573"/>
    <n v="573"/>
    <x v="0"/>
    <s v="Issue 554"/>
    <x v="0"/>
    <x v="0"/>
    <x v="0"/>
    <x v="0"/>
    <x v="3"/>
    <s v="Client 554"/>
    <x v="94"/>
    <m/>
    <x v="1"/>
  </r>
  <r>
    <s v="CS-574"/>
    <n v="574"/>
    <x v="0"/>
    <s v="Issue 555"/>
    <x v="1"/>
    <x v="0"/>
    <x v="0"/>
    <x v="0"/>
    <x v="5"/>
    <s v="Client 555"/>
    <x v="94"/>
    <m/>
    <x v="82"/>
  </r>
  <r>
    <s v="CS-575"/>
    <n v="575"/>
    <x v="0"/>
    <s v="Issue 556"/>
    <x v="1"/>
    <x v="0"/>
    <x v="0"/>
    <x v="0"/>
    <x v="3"/>
    <s v="Client 556"/>
    <x v="95"/>
    <m/>
    <x v="83"/>
  </r>
  <r>
    <s v="CS-576"/>
    <n v="576"/>
    <x v="0"/>
    <s v="Issue 557"/>
    <x v="1"/>
    <x v="0"/>
    <x v="0"/>
    <x v="7"/>
    <x v="5"/>
    <s v="Client 557"/>
    <x v="95"/>
    <m/>
    <x v="84"/>
  </r>
  <r>
    <s v="CS-577"/>
    <n v="577"/>
    <x v="0"/>
    <s v="Issue 558"/>
    <x v="1"/>
    <x v="1"/>
    <x v="0"/>
    <x v="0"/>
    <x v="4"/>
    <s v="Client 558"/>
    <x v="95"/>
    <m/>
    <x v="23"/>
  </r>
  <r>
    <s v="CS-578"/>
    <n v="578"/>
    <x v="1"/>
    <s v="Issue 559"/>
    <x v="1"/>
    <x v="0"/>
    <x v="0"/>
    <x v="0"/>
    <x v="4"/>
    <s v="Client 559"/>
    <x v="96"/>
    <m/>
    <x v="85"/>
  </r>
  <r>
    <s v="CS-579"/>
    <n v="579"/>
    <x v="0"/>
    <s v="Issue 560"/>
    <x v="0"/>
    <x v="0"/>
    <x v="0"/>
    <x v="5"/>
    <x v="2"/>
    <s v="Client 560"/>
    <x v="96"/>
    <m/>
    <x v="1"/>
  </r>
  <r>
    <s v="CS-580"/>
    <n v="580"/>
    <x v="0"/>
    <s v="Issue 561"/>
    <x v="1"/>
    <x v="0"/>
    <x v="0"/>
    <x v="7"/>
    <x v="0"/>
    <s v="Client 561"/>
    <x v="96"/>
    <m/>
    <x v="84"/>
  </r>
  <r>
    <s v="CS-581"/>
    <n v="581"/>
    <x v="0"/>
    <s v="Issue 562"/>
    <x v="1"/>
    <x v="0"/>
    <x v="0"/>
    <x v="7"/>
    <x v="0"/>
    <s v="Client 562"/>
    <x v="96"/>
    <m/>
    <x v="84"/>
  </r>
  <r>
    <s v="CS-582"/>
    <n v="582"/>
    <x v="0"/>
    <s v="Issue 563"/>
    <x v="0"/>
    <x v="0"/>
    <x v="0"/>
    <x v="7"/>
    <x v="5"/>
    <s v="Client 563"/>
    <x v="97"/>
    <m/>
    <x v="1"/>
  </r>
  <r>
    <s v="CS-583"/>
    <n v="583"/>
    <x v="0"/>
    <s v="Issue 564"/>
    <x v="1"/>
    <x v="0"/>
    <x v="0"/>
    <x v="0"/>
    <x v="4"/>
    <s v="Client 564"/>
    <x v="97"/>
    <m/>
    <x v="86"/>
  </r>
  <r>
    <s v="CS-584"/>
    <n v="584"/>
    <x v="0"/>
    <s v="Issue 565"/>
    <x v="0"/>
    <x v="0"/>
    <x v="0"/>
    <x v="7"/>
    <x v="3"/>
    <s v="Client 565"/>
    <x v="97"/>
    <m/>
    <x v="1"/>
  </r>
  <r>
    <s v="CS-585"/>
    <n v="585"/>
    <x v="0"/>
    <s v="Issue 566"/>
    <x v="0"/>
    <x v="0"/>
    <x v="0"/>
    <x v="5"/>
    <x v="1"/>
    <s v="Client 566"/>
    <x v="97"/>
    <m/>
    <x v="1"/>
  </r>
  <r>
    <s v="CS-586"/>
    <n v="586"/>
    <x v="0"/>
    <s v="Issue 567"/>
    <x v="0"/>
    <x v="0"/>
    <x v="0"/>
    <x v="5"/>
    <x v="0"/>
    <s v="Client 567"/>
    <x v="97"/>
    <m/>
    <x v="62"/>
  </r>
  <r>
    <s v="CS-587"/>
    <n v="587"/>
    <x v="0"/>
    <s v="Issue 568"/>
    <x v="0"/>
    <x v="0"/>
    <x v="0"/>
    <x v="2"/>
    <x v="0"/>
    <s v="Client 568"/>
    <x v="97"/>
    <m/>
    <x v="1"/>
  </r>
  <r>
    <s v="CS-588"/>
    <n v="588"/>
    <x v="0"/>
    <s v="Issue 569"/>
    <x v="1"/>
    <x v="0"/>
    <x v="0"/>
    <x v="7"/>
    <x v="3"/>
    <s v="Client 569"/>
    <x v="97"/>
    <m/>
    <x v="61"/>
  </r>
  <r>
    <s v="CS-589"/>
    <n v="589"/>
    <x v="0"/>
    <s v="Issue 570"/>
    <x v="1"/>
    <x v="0"/>
    <x v="0"/>
    <x v="0"/>
    <x v="4"/>
    <s v="Client 570"/>
    <x v="97"/>
    <m/>
    <x v="70"/>
  </r>
  <r>
    <s v="CS-590"/>
    <n v="590"/>
    <x v="0"/>
    <s v="Issue 571"/>
    <x v="1"/>
    <x v="0"/>
    <x v="0"/>
    <x v="7"/>
    <x v="5"/>
    <s v="Client 571"/>
    <x v="98"/>
    <m/>
    <x v="69"/>
  </r>
  <r>
    <s v="CS-591"/>
    <n v="591"/>
    <x v="1"/>
    <s v="Issue 572"/>
    <x v="1"/>
    <x v="0"/>
    <x v="0"/>
    <x v="8"/>
    <x v="1"/>
    <s v="Client 572"/>
    <x v="99"/>
    <m/>
    <x v="80"/>
  </r>
  <r>
    <s v="CS-592"/>
    <n v="592"/>
    <x v="1"/>
    <s v="Issue 573"/>
    <x v="2"/>
    <x v="1"/>
    <x v="0"/>
    <x v="7"/>
    <x v="0"/>
    <s v="Client 573"/>
    <x v="99"/>
    <m/>
    <x v="1"/>
  </r>
  <r>
    <s v="CS-593"/>
    <n v="593"/>
    <x v="0"/>
    <s v="Issue 574"/>
    <x v="1"/>
    <x v="0"/>
    <x v="0"/>
    <x v="0"/>
    <x v="3"/>
    <s v="Client 574"/>
    <x v="99"/>
    <m/>
    <x v="87"/>
  </r>
  <r>
    <s v="CS-594"/>
    <n v="594"/>
    <x v="0"/>
    <s v="Issue 575"/>
    <x v="0"/>
    <x v="0"/>
    <x v="0"/>
    <x v="5"/>
    <x v="1"/>
    <s v="Client 575"/>
    <x v="100"/>
    <m/>
    <x v="1"/>
  </r>
  <r>
    <s v="CS-595"/>
    <n v="595"/>
    <x v="0"/>
    <s v="Issue 576"/>
    <x v="0"/>
    <x v="0"/>
    <x v="0"/>
    <x v="7"/>
    <x v="5"/>
    <s v="Client 576"/>
    <x v="100"/>
    <m/>
    <x v="1"/>
  </r>
  <r>
    <s v="CS-596"/>
    <n v="596"/>
    <x v="0"/>
    <s v="Issue 577"/>
    <x v="1"/>
    <x v="0"/>
    <x v="0"/>
    <x v="0"/>
    <x v="3"/>
    <s v="Client 577"/>
    <x v="100"/>
    <m/>
    <x v="88"/>
  </r>
  <r>
    <s v="CS-597"/>
    <n v="597"/>
    <x v="0"/>
    <s v="Issue 578"/>
    <x v="1"/>
    <x v="0"/>
    <x v="0"/>
    <x v="0"/>
    <x v="4"/>
    <s v="Client 578"/>
    <x v="100"/>
    <m/>
    <x v="72"/>
  </r>
  <r>
    <s v="CS-598"/>
    <n v="598"/>
    <x v="0"/>
    <s v="Issue 579"/>
    <x v="1"/>
    <x v="0"/>
    <x v="0"/>
    <x v="7"/>
    <x v="5"/>
    <s v="Client 579"/>
    <x v="101"/>
    <m/>
    <x v="89"/>
  </r>
  <r>
    <s v="CS-599"/>
    <n v="599"/>
    <x v="1"/>
    <s v="Issue 580"/>
    <x v="3"/>
    <x v="1"/>
    <x v="0"/>
    <x v="6"/>
    <x v="2"/>
    <s v="Client 580"/>
    <x v="102"/>
    <m/>
    <x v="89"/>
  </r>
  <r>
    <s v="CS-600"/>
    <n v="600"/>
    <x v="0"/>
    <s v="Issue 581"/>
    <x v="1"/>
    <x v="0"/>
    <x v="0"/>
    <x v="0"/>
    <x v="3"/>
    <s v="Client 581"/>
    <x v="103"/>
    <m/>
    <x v="90"/>
  </r>
  <r>
    <s v="CS-601"/>
    <n v="601"/>
    <x v="0"/>
    <s v="Issue 582"/>
    <x v="1"/>
    <x v="0"/>
    <x v="0"/>
    <x v="7"/>
    <x v="5"/>
    <s v="Client 582"/>
    <x v="103"/>
    <m/>
    <x v="86"/>
  </r>
  <r>
    <s v="CS-602"/>
    <n v="602"/>
    <x v="0"/>
    <s v="Issue 583"/>
    <x v="3"/>
    <x v="0"/>
    <x v="0"/>
    <x v="0"/>
    <x v="3"/>
    <s v="Client 583"/>
    <x v="103"/>
    <m/>
    <x v="91"/>
  </r>
  <r>
    <s v="CS-603"/>
    <n v="603"/>
    <x v="0"/>
    <s v="Issue 584"/>
    <x v="1"/>
    <x v="0"/>
    <x v="0"/>
    <x v="0"/>
    <x v="1"/>
    <s v="Client 584"/>
    <x v="103"/>
    <m/>
    <x v="92"/>
  </r>
  <r>
    <s v="CS-604"/>
    <n v="604"/>
    <x v="0"/>
    <s v="Issue 585"/>
    <x v="0"/>
    <x v="0"/>
    <x v="0"/>
    <x v="5"/>
    <x v="1"/>
    <s v="Client 585"/>
    <x v="103"/>
    <m/>
    <x v="1"/>
  </r>
  <r>
    <s v="CS-605"/>
    <n v="605"/>
    <x v="0"/>
    <s v="Issue 586"/>
    <x v="1"/>
    <x v="0"/>
    <x v="0"/>
    <x v="5"/>
    <x v="3"/>
    <s v="Client 586"/>
    <x v="103"/>
    <m/>
    <x v="1"/>
  </r>
  <r>
    <s v="CS-606"/>
    <n v="606"/>
    <x v="0"/>
    <s v="Issue 587"/>
    <x v="1"/>
    <x v="0"/>
    <x v="0"/>
    <x v="7"/>
    <x v="2"/>
    <s v="Client 587"/>
    <x v="104"/>
    <m/>
    <x v="93"/>
  </r>
  <r>
    <s v="CS-607"/>
    <n v="607"/>
    <x v="0"/>
    <s v="Issue 588"/>
    <x v="2"/>
    <x v="0"/>
    <x v="0"/>
    <x v="7"/>
    <x v="3"/>
    <s v="Client 588"/>
    <x v="104"/>
    <m/>
    <x v="1"/>
  </r>
  <r>
    <s v="CS-608"/>
    <n v="608"/>
    <x v="0"/>
    <s v="Issue 589"/>
    <x v="1"/>
    <x v="0"/>
    <x v="0"/>
    <x v="0"/>
    <x v="3"/>
    <s v="Client 589"/>
    <x v="104"/>
    <m/>
    <x v="94"/>
  </r>
  <r>
    <s v="CS-609"/>
    <n v="609"/>
    <x v="1"/>
    <s v="Issue 590"/>
    <x v="1"/>
    <x v="0"/>
    <x v="0"/>
    <x v="6"/>
    <x v="0"/>
    <s v="Client 590"/>
    <x v="105"/>
    <m/>
    <x v="95"/>
  </r>
  <r>
    <s v="CS-610"/>
    <n v="610"/>
    <x v="0"/>
    <s v="Issue 591"/>
    <x v="1"/>
    <x v="0"/>
    <x v="0"/>
    <x v="0"/>
    <x v="5"/>
    <s v="Client 591"/>
    <x v="105"/>
    <m/>
    <x v="96"/>
  </r>
  <r>
    <s v="CS-611"/>
    <n v="611"/>
    <x v="0"/>
    <s v="Issue 592"/>
    <x v="1"/>
    <x v="1"/>
    <x v="0"/>
    <x v="7"/>
    <x v="5"/>
    <s v="Client 592"/>
    <x v="105"/>
    <m/>
    <x v="1"/>
  </r>
  <r>
    <s v="CS-612"/>
    <n v="612"/>
    <x v="0"/>
    <s v="Issue 593"/>
    <x v="0"/>
    <x v="0"/>
    <x v="0"/>
    <x v="5"/>
    <x v="3"/>
    <s v="Client 593"/>
    <x v="105"/>
    <m/>
    <x v="1"/>
  </r>
  <r>
    <s v="CS-613"/>
    <n v="613"/>
    <x v="0"/>
    <s v="Issue 594"/>
    <x v="1"/>
    <x v="0"/>
    <x v="0"/>
    <x v="0"/>
    <x v="3"/>
    <s v="Client 594"/>
    <x v="105"/>
    <m/>
    <x v="91"/>
  </r>
  <r>
    <s v="CS-614"/>
    <n v="614"/>
    <x v="0"/>
    <s v="Issue 595"/>
    <x v="0"/>
    <x v="0"/>
    <x v="0"/>
    <x v="0"/>
    <x v="3"/>
    <s v="Client 595"/>
    <x v="105"/>
    <m/>
    <x v="1"/>
  </r>
  <r>
    <s v="CS-615"/>
    <n v="615"/>
    <x v="0"/>
    <s v="Issue 596"/>
    <x v="1"/>
    <x v="0"/>
    <x v="0"/>
    <x v="7"/>
    <x v="4"/>
    <s v="Client 596"/>
    <x v="105"/>
    <m/>
    <x v="23"/>
  </r>
  <r>
    <s v="CS-616"/>
    <n v="616"/>
    <x v="0"/>
    <s v="Issue 597"/>
    <x v="1"/>
    <x v="0"/>
    <x v="0"/>
    <x v="7"/>
    <x v="2"/>
    <s v="Client 597"/>
    <x v="106"/>
    <m/>
    <x v="81"/>
  </r>
  <r>
    <s v="CS-617"/>
    <n v="617"/>
    <x v="0"/>
    <s v="Issue 598"/>
    <x v="0"/>
    <x v="0"/>
    <x v="0"/>
    <x v="0"/>
    <x v="3"/>
    <s v="Client 598"/>
    <x v="106"/>
    <m/>
    <x v="1"/>
  </r>
  <r>
    <s v="CS-618"/>
    <n v="618"/>
    <x v="0"/>
    <s v="Issue 599"/>
    <x v="1"/>
    <x v="0"/>
    <x v="0"/>
    <x v="2"/>
    <x v="5"/>
    <s v="Client 599"/>
    <x v="106"/>
    <m/>
    <x v="74"/>
  </r>
  <r>
    <s v="CS-619"/>
    <n v="619"/>
    <x v="0"/>
    <s v="Issue 600"/>
    <x v="0"/>
    <x v="0"/>
    <x v="0"/>
    <x v="5"/>
    <x v="1"/>
    <s v="Client 600"/>
    <x v="106"/>
    <m/>
    <x v="1"/>
  </r>
  <r>
    <s v="CS-620"/>
    <n v="620"/>
    <x v="0"/>
    <s v="Issue 601"/>
    <x v="1"/>
    <x v="0"/>
    <x v="0"/>
    <x v="0"/>
    <x v="3"/>
    <s v="Client 601"/>
    <x v="106"/>
    <m/>
    <x v="28"/>
  </r>
  <r>
    <s v="CS-621"/>
    <n v="621"/>
    <x v="0"/>
    <s v="Issue 602"/>
    <x v="1"/>
    <x v="0"/>
    <x v="0"/>
    <x v="0"/>
    <x v="4"/>
    <s v="Client 602"/>
    <x v="106"/>
    <m/>
    <x v="97"/>
  </r>
  <r>
    <s v="CS-622"/>
    <n v="622"/>
    <x v="0"/>
    <s v="Issue 603"/>
    <x v="1"/>
    <x v="0"/>
    <x v="0"/>
    <x v="9"/>
    <x v="3"/>
    <s v="Client 603"/>
    <x v="106"/>
    <m/>
    <x v="64"/>
  </r>
  <r>
    <s v="CS-623"/>
    <n v="623"/>
    <x v="0"/>
    <s v="Issue 604"/>
    <x v="3"/>
    <x v="2"/>
    <x v="0"/>
    <x v="1"/>
    <x v="4"/>
    <s v="Client 604"/>
    <x v="106"/>
    <m/>
    <x v="1"/>
  </r>
  <r>
    <s v="CS-624"/>
    <n v="624"/>
    <x v="1"/>
    <s v="Issue 605"/>
    <x v="2"/>
    <x v="1"/>
    <x v="0"/>
    <x v="7"/>
    <x v="3"/>
    <s v="Client 605"/>
    <x v="107"/>
    <m/>
    <x v="1"/>
  </r>
  <r>
    <s v="CS-625"/>
    <n v="625"/>
    <x v="1"/>
    <s v="Issue 606"/>
    <x v="1"/>
    <x v="0"/>
    <x v="0"/>
    <x v="8"/>
    <x v="1"/>
    <s v="Client 606"/>
    <x v="107"/>
    <m/>
    <x v="80"/>
  </r>
  <r>
    <s v="CS-626"/>
    <n v="626"/>
    <x v="1"/>
    <s v="Issue 607"/>
    <x v="1"/>
    <x v="0"/>
    <x v="0"/>
    <x v="8"/>
    <x v="3"/>
    <s v="Client 607"/>
    <x v="107"/>
    <m/>
    <x v="98"/>
  </r>
  <r>
    <s v="CS-627"/>
    <n v="627"/>
    <x v="1"/>
    <s v="Issue 608"/>
    <x v="1"/>
    <x v="0"/>
    <x v="0"/>
    <x v="8"/>
    <x v="1"/>
    <s v="Client 608"/>
    <x v="107"/>
    <m/>
    <x v="80"/>
  </r>
  <r>
    <s v="CS-628"/>
    <n v="628"/>
    <x v="0"/>
    <s v="Issue 609"/>
    <x v="1"/>
    <x v="0"/>
    <x v="0"/>
    <x v="9"/>
    <x v="4"/>
    <s v="Client 609"/>
    <x v="108"/>
    <m/>
    <x v="56"/>
  </r>
  <r>
    <s v="CS-629"/>
    <n v="629"/>
    <x v="0"/>
    <s v="Issue 610"/>
    <x v="1"/>
    <x v="0"/>
    <x v="0"/>
    <x v="7"/>
    <x v="0"/>
    <s v="Client 610"/>
    <x v="108"/>
    <m/>
    <x v="28"/>
  </r>
  <r>
    <s v="CS-630"/>
    <n v="630"/>
    <x v="0"/>
    <s v="Issue 611"/>
    <x v="1"/>
    <x v="0"/>
    <x v="0"/>
    <x v="0"/>
    <x v="5"/>
    <s v="Client 611"/>
    <x v="108"/>
    <m/>
    <x v="99"/>
  </r>
  <r>
    <s v="CS-631"/>
    <n v="631"/>
    <x v="0"/>
    <s v="Issue 612"/>
    <x v="1"/>
    <x v="0"/>
    <x v="0"/>
    <x v="0"/>
    <x v="3"/>
    <s v="Client 612"/>
    <x v="109"/>
    <m/>
    <x v="91"/>
  </r>
  <r>
    <s v="CS-632"/>
    <n v="632"/>
    <x v="0"/>
    <s v="Issue 613"/>
    <x v="1"/>
    <x v="0"/>
    <x v="0"/>
    <x v="9"/>
    <x v="3"/>
    <s v="Client 613"/>
    <x v="109"/>
    <m/>
    <x v="100"/>
  </r>
  <r>
    <s v="CS-633"/>
    <n v="633"/>
    <x v="0"/>
    <s v="Issue 614"/>
    <x v="1"/>
    <x v="0"/>
    <x v="0"/>
    <x v="9"/>
    <x v="4"/>
    <s v="Client 614"/>
    <x v="109"/>
    <m/>
    <x v="101"/>
  </r>
  <r>
    <s v="CS-634"/>
    <n v="634"/>
    <x v="0"/>
    <s v="Issue 615"/>
    <x v="1"/>
    <x v="0"/>
    <x v="0"/>
    <x v="7"/>
    <x v="0"/>
    <s v="Client 615"/>
    <x v="109"/>
    <m/>
    <x v="102"/>
  </r>
  <r>
    <s v="CS-635"/>
    <n v="635"/>
    <x v="0"/>
    <s v="Issue 616"/>
    <x v="2"/>
    <x v="0"/>
    <x v="0"/>
    <x v="2"/>
    <x v="3"/>
    <s v="Client 616"/>
    <x v="109"/>
    <m/>
    <x v="1"/>
  </r>
  <r>
    <s v="CS-636"/>
    <n v="636"/>
    <x v="0"/>
    <s v="Issue 617"/>
    <x v="1"/>
    <x v="1"/>
    <x v="0"/>
    <x v="7"/>
    <x v="3"/>
    <s v="Client 617"/>
    <x v="109"/>
    <m/>
    <x v="1"/>
  </r>
  <r>
    <s v="CS-637"/>
    <n v="637"/>
    <x v="0"/>
    <s v="Issue 618"/>
    <x v="1"/>
    <x v="0"/>
    <x v="0"/>
    <x v="7"/>
    <x v="3"/>
    <s v="Client 618"/>
    <x v="109"/>
    <m/>
    <x v="1"/>
  </r>
  <r>
    <s v="CS-638"/>
    <n v="638"/>
    <x v="0"/>
    <s v="Issue 619"/>
    <x v="3"/>
    <x v="0"/>
    <x v="0"/>
    <x v="9"/>
    <x v="4"/>
    <s v="Client 619"/>
    <x v="109"/>
    <m/>
    <x v="103"/>
  </r>
  <r>
    <s v="CS-639"/>
    <n v="639"/>
    <x v="0"/>
    <s v="Issue 620"/>
    <x v="1"/>
    <x v="0"/>
    <x v="0"/>
    <x v="0"/>
    <x v="3"/>
    <s v="Client 620"/>
    <x v="109"/>
    <m/>
    <x v="91"/>
  </r>
  <r>
    <s v="CS-640"/>
    <n v="640"/>
    <x v="0"/>
    <s v="Issue 621"/>
    <x v="1"/>
    <x v="0"/>
    <x v="0"/>
    <x v="9"/>
    <x v="3"/>
    <s v="Client 621"/>
    <x v="110"/>
    <m/>
    <x v="104"/>
  </r>
  <r>
    <s v="CS-641"/>
    <n v="641"/>
    <x v="0"/>
    <s v="Issue 622"/>
    <x v="1"/>
    <x v="0"/>
    <x v="0"/>
    <x v="7"/>
    <x v="3"/>
    <s v="Client 622"/>
    <x v="110"/>
    <m/>
    <x v="1"/>
  </r>
  <r>
    <s v="CS-642"/>
    <n v="642"/>
    <x v="0"/>
    <s v="Issue 623"/>
    <x v="1"/>
    <x v="0"/>
    <x v="0"/>
    <x v="9"/>
    <x v="3"/>
    <s v="Client 623"/>
    <x v="110"/>
    <m/>
    <x v="105"/>
  </r>
  <r>
    <s v="CS-643"/>
    <n v="643"/>
    <x v="0"/>
    <s v="Issue 624"/>
    <x v="1"/>
    <x v="0"/>
    <x v="0"/>
    <x v="0"/>
    <x v="5"/>
    <s v="Client 624"/>
    <x v="110"/>
    <m/>
    <x v="106"/>
  </r>
  <r>
    <s v="CS-644"/>
    <n v="644"/>
    <x v="0"/>
    <s v="Issue 625"/>
    <x v="1"/>
    <x v="0"/>
    <x v="0"/>
    <x v="9"/>
    <x v="1"/>
    <s v="Client 625"/>
    <x v="110"/>
    <m/>
    <x v="107"/>
  </r>
  <r>
    <s v="CS-645"/>
    <n v="645"/>
    <x v="0"/>
    <s v="Issue 626"/>
    <x v="1"/>
    <x v="0"/>
    <x v="0"/>
    <x v="7"/>
    <x v="4"/>
    <s v="Client 626"/>
    <x v="110"/>
    <m/>
    <x v="108"/>
  </r>
  <r>
    <s v="CS-646"/>
    <n v="646"/>
    <x v="0"/>
    <s v="Issue 627"/>
    <x v="1"/>
    <x v="0"/>
    <x v="0"/>
    <x v="9"/>
    <x v="1"/>
    <s v="Client 627"/>
    <x v="110"/>
    <m/>
    <x v="109"/>
  </r>
  <r>
    <s v="CS-647"/>
    <n v="647"/>
    <x v="0"/>
    <s v="Issue 628"/>
    <x v="1"/>
    <x v="0"/>
    <x v="0"/>
    <x v="0"/>
    <x v="3"/>
    <s v="Client 628"/>
    <x v="110"/>
    <m/>
    <x v="94"/>
  </r>
  <r>
    <s v="CS-648"/>
    <n v="648"/>
    <x v="0"/>
    <s v="Issue 629"/>
    <x v="1"/>
    <x v="0"/>
    <x v="0"/>
    <x v="9"/>
    <x v="3"/>
    <s v="Client 629"/>
    <x v="110"/>
    <m/>
    <x v="110"/>
  </r>
  <r>
    <s v="CS-649"/>
    <n v="649"/>
    <x v="0"/>
    <s v="Issue 630"/>
    <x v="2"/>
    <x v="0"/>
    <x v="0"/>
    <x v="9"/>
    <x v="5"/>
    <s v="Client 630"/>
    <x v="110"/>
    <m/>
    <x v="101"/>
  </r>
  <r>
    <s v="CS-650"/>
    <n v="650"/>
    <x v="0"/>
    <s v="Issue 631"/>
    <x v="1"/>
    <x v="0"/>
    <x v="0"/>
    <x v="7"/>
    <x v="6"/>
    <s v="Client 631"/>
    <x v="110"/>
    <m/>
    <x v="1"/>
  </r>
  <r>
    <s v="CS-651"/>
    <n v="651"/>
    <x v="0"/>
    <s v="Issue 632"/>
    <x v="2"/>
    <x v="1"/>
    <x v="0"/>
    <x v="7"/>
    <x v="3"/>
    <s v="Client 632"/>
    <x v="110"/>
    <m/>
    <x v="1"/>
  </r>
  <r>
    <s v="CS-652"/>
    <n v="652"/>
    <x v="0"/>
    <s v="Issue 633"/>
    <x v="1"/>
    <x v="0"/>
    <x v="0"/>
    <x v="2"/>
    <x v="4"/>
    <s v="Client 633"/>
    <x v="110"/>
    <m/>
    <x v="1"/>
  </r>
  <r>
    <s v="CS-653"/>
    <n v="653"/>
    <x v="1"/>
    <s v="Issue 634"/>
    <x v="1"/>
    <x v="0"/>
    <x v="0"/>
    <x v="9"/>
    <x v="5"/>
    <s v="Client 634"/>
    <x v="111"/>
    <m/>
    <x v="74"/>
  </r>
  <r>
    <s v="CS-654"/>
    <n v="654"/>
    <x v="0"/>
    <s v="Issue 635"/>
    <x v="1"/>
    <x v="1"/>
    <x v="0"/>
    <x v="7"/>
    <x v="0"/>
    <s v="Client 635"/>
    <x v="111"/>
    <m/>
    <x v="23"/>
  </r>
  <r>
    <s v="CS-655"/>
    <n v="655"/>
    <x v="0"/>
    <s v="Issue 636"/>
    <x v="1"/>
    <x v="0"/>
    <x v="0"/>
    <x v="7"/>
    <x v="0"/>
    <s v="Client 636"/>
    <x v="111"/>
    <m/>
    <x v="111"/>
  </r>
  <r>
    <s v="CS-656"/>
    <n v="656"/>
    <x v="0"/>
    <s v="Issue 637"/>
    <x v="1"/>
    <x v="0"/>
    <x v="0"/>
    <x v="7"/>
    <x v="0"/>
    <s v="Client 637"/>
    <x v="111"/>
    <m/>
    <x v="17"/>
  </r>
  <r>
    <s v="CS-657"/>
    <n v="657"/>
    <x v="0"/>
    <s v="Issue 638"/>
    <x v="1"/>
    <x v="0"/>
    <x v="0"/>
    <x v="9"/>
    <x v="1"/>
    <s v="Client 638"/>
    <x v="111"/>
    <m/>
    <x v="112"/>
  </r>
  <r>
    <s v="CS-658"/>
    <n v="658"/>
    <x v="0"/>
    <s v="Issue 639"/>
    <x v="1"/>
    <x v="0"/>
    <x v="0"/>
    <x v="0"/>
    <x v="3"/>
    <s v="Client 639"/>
    <x v="111"/>
    <m/>
    <x v="113"/>
  </r>
  <r>
    <s v="CS-659"/>
    <n v="659"/>
    <x v="0"/>
    <s v="Issue 640"/>
    <x v="1"/>
    <x v="0"/>
    <x v="0"/>
    <x v="0"/>
    <x v="1"/>
    <s v="Client 640"/>
    <x v="111"/>
    <m/>
    <x v="114"/>
  </r>
  <r>
    <s v="CS-660"/>
    <n v="660"/>
    <x v="0"/>
    <s v="Issue 641"/>
    <x v="1"/>
    <x v="0"/>
    <x v="0"/>
    <x v="7"/>
    <x v="0"/>
    <s v="Client 641"/>
    <x v="111"/>
    <m/>
    <x v="17"/>
  </r>
  <r>
    <s v="CS-661"/>
    <n v="661"/>
    <x v="1"/>
    <s v="Issue 642"/>
    <x v="1"/>
    <x v="0"/>
    <x v="0"/>
    <x v="8"/>
    <x v="1"/>
    <s v="Client 642"/>
    <x v="111"/>
    <m/>
    <x v="80"/>
  </r>
  <r>
    <s v="CS-662"/>
    <n v="662"/>
    <x v="1"/>
    <s v="Issue 643"/>
    <x v="1"/>
    <x v="0"/>
    <x v="0"/>
    <x v="8"/>
    <x v="7"/>
    <s v="Client 643"/>
    <x v="111"/>
    <m/>
    <x v="83"/>
  </r>
  <r>
    <s v="CS-663"/>
    <n v="663"/>
    <x v="1"/>
    <s v="Issue 644"/>
    <x v="1"/>
    <x v="0"/>
    <x v="0"/>
    <x v="8"/>
    <x v="7"/>
    <s v="Client 644"/>
    <x v="111"/>
    <m/>
    <x v="115"/>
  </r>
  <r>
    <s v="CS-664"/>
    <n v="664"/>
    <x v="1"/>
    <s v="Issue 645"/>
    <x v="2"/>
    <x v="0"/>
    <x v="0"/>
    <x v="1"/>
    <x v="7"/>
    <s v="Client 645"/>
    <x v="111"/>
    <m/>
    <x v="116"/>
  </r>
  <r>
    <s v="CS-665"/>
    <n v="665"/>
    <x v="0"/>
    <s v="Issue 646"/>
    <x v="1"/>
    <x v="0"/>
    <x v="0"/>
    <x v="7"/>
    <x v="4"/>
    <s v="Client 646"/>
    <x v="112"/>
    <m/>
    <x v="117"/>
  </r>
  <r>
    <s v="CS-666"/>
    <n v="666"/>
    <x v="0"/>
    <s v="Issue 647"/>
    <x v="1"/>
    <x v="0"/>
    <x v="0"/>
    <x v="9"/>
    <x v="5"/>
    <s v="Client 647"/>
    <x v="112"/>
    <m/>
    <x v="83"/>
  </r>
  <r>
    <s v="CS-667"/>
    <n v="667"/>
    <x v="0"/>
    <s v="Issue 648"/>
    <x v="1"/>
    <x v="0"/>
    <x v="0"/>
    <x v="7"/>
    <x v="6"/>
    <s v="Client 648"/>
    <x v="112"/>
    <m/>
    <x v="112"/>
  </r>
  <r>
    <s v="CS-668"/>
    <n v="668"/>
    <x v="0"/>
    <s v="Issue 649"/>
    <x v="1"/>
    <x v="0"/>
    <x v="0"/>
    <x v="7"/>
    <x v="0"/>
    <s v="Client 649"/>
    <x v="112"/>
    <m/>
    <x v="118"/>
  </r>
  <r>
    <s v="CS-669"/>
    <n v="669"/>
    <x v="0"/>
    <s v="Issue 650"/>
    <x v="1"/>
    <x v="0"/>
    <x v="0"/>
    <x v="0"/>
    <x v="3"/>
    <s v="Client 650"/>
    <x v="112"/>
    <m/>
    <x v="105"/>
  </r>
  <r>
    <s v="CS-670"/>
    <n v="670"/>
    <x v="0"/>
    <s v="Issue 651"/>
    <x v="1"/>
    <x v="0"/>
    <x v="0"/>
    <x v="7"/>
    <x v="4"/>
    <s v="Client 651"/>
    <x v="112"/>
    <m/>
    <x v="119"/>
  </r>
  <r>
    <s v="CS-671"/>
    <n v="671"/>
    <x v="0"/>
    <s v="Issue 652"/>
    <x v="1"/>
    <x v="0"/>
    <x v="0"/>
    <x v="9"/>
    <x v="7"/>
    <s v="Client 652"/>
    <x v="112"/>
    <m/>
    <x v="80"/>
  </r>
  <r>
    <s v="CS-672"/>
    <n v="672"/>
    <x v="0"/>
    <s v="Issue 653"/>
    <x v="1"/>
    <x v="0"/>
    <x v="0"/>
    <x v="0"/>
    <x v="3"/>
    <s v="Client 653"/>
    <x v="112"/>
    <m/>
    <x v="91"/>
  </r>
  <r>
    <s v="CS-673"/>
    <n v="673"/>
    <x v="0"/>
    <s v="Issue 654"/>
    <x v="1"/>
    <x v="0"/>
    <x v="0"/>
    <x v="7"/>
    <x v="5"/>
    <s v="Client 654"/>
    <x v="112"/>
    <m/>
    <x v="120"/>
  </r>
  <r>
    <s v="CS-674"/>
    <n v="674"/>
    <x v="0"/>
    <s v="Issue 655"/>
    <x v="1"/>
    <x v="0"/>
    <x v="0"/>
    <x v="0"/>
    <x v="5"/>
    <s v="Client 655"/>
    <x v="112"/>
    <m/>
    <x v="121"/>
  </r>
  <r>
    <s v="CS-675"/>
    <n v="675"/>
    <x v="0"/>
    <s v="Issue 656"/>
    <x v="1"/>
    <x v="0"/>
    <x v="0"/>
    <x v="0"/>
    <x v="3"/>
    <s v="Client 656"/>
    <x v="112"/>
    <m/>
    <x v="91"/>
  </r>
  <r>
    <s v="CS-676"/>
    <n v="676"/>
    <x v="0"/>
    <s v="Issue 657"/>
    <x v="1"/>
    <x v="0"/>
    <x v="0"/>
    <x v="7"/>
    <x v="5"/>
    <s v="Client 657"/>
    <x v="112"/>
    <m/>
    <x v="119"/>
  </r>
  <r>
    <s v="CS-677"/>
    <n v="677"/>
    <x v="1"/>
    <s v="Issue 658"/>
    <x v="1"/>
    <x v="0"/>
    <x v="0"/>
    <x v="8"/>
    <x v="0"/>
    <s v="Client 658"/>
    <x v="113"/>
    <m/>
    <x v="106"/>
  </r>
  <r>
    <s v="CS-678"/>
    <n v="678"/>
    <x v="1"/>
    <s v="Issue 659"/>
    <x v="1"/>
    <x v="0"/>
    <x v="0"/>
    <x v="8"/>
    <x v="4"/>
    <s v="Client 659"/>
    <x v="113"/>
    <m/>
    <x v="65"/>
  </r>
  <r>
    <s v="CS-679"/>
    <n v="679"/>
    <x v="1"/>
    <s v="Issue 660"/>
    <x v="1"/>
    <x v="0"/>
    <x v="0"/>
    <x v="8"/>
    <x v="1"/>
    <s v="Client 660"/>
    <x v="113"/>
    <m/>
    <x v="80"/>
  </r>
  <r>
    <s v="CS-680"/>
    <n v="680"/>
    <x v="1"/>
    <s v="Issue 661"/>
    <x v="1"/>
    <x v="0"/>
    <x v="0"/>
    <x v="8"/>
    <x v="0"/>
    <s v="Client 661"/>
    <x v="113"/>
    <m/>
    <x v="79"/>
  </r>
  <r>
    <s v="CS-681"/>
    <n v="681"/>
    <x v="0"/>
    <s v="Issue 662"/>
    <x v="3"/>
    <x v="1"/>
    <x v="0"/>
    <x v="0"/>
    <x v="1"/>
    <s v="Client 662"/>
    <x v="114"/>
    <m/>
    <x v="1"/>
  </r>
  <r>
    <s v="CS-682"/>
    <n v="682"/>
    <x v="0"/>
    <s v="Issue 663"/>
    <x v="1"/>
    <x v="0"/>
    <x v="0"/>
    <x v="7"/>
    <x v="0"/>
    <s v="Client 663"/>
    <x v="115"/>
    <m/>
    <x v="111"/>
  </r>
  <r>
    <s v="CS-683"/>
    <n v="683"/>
    <x v="0"/>
    <s v="Issue 664"/>
    <x v="1"/>
    <x v="0"/>
    <x v="0"/>
    <x v="0"/>
    <x v="4"/>
    <s v="Client 664"/>
    <x v="115"/>
    <m/>
    <x v="122"/>
  </r>
  <r>
    <s v="CS-684"/>
    <n v="684"/>
    <x v="0"/>
    <s v="Issue 665"/>
    <x v="1"/>
    <x v="0"/>
    <x v="0"/>
    <x v="0"/>
    <x v="3"/>
    <s v="Client 665"/>
    <x v="115"/>
    <m/>
    <x v="105"/>
  </r>
  <r>
    <s v="CS-685"/>
    <n v="685"/>
    <x v="0"/>
    <s v="Issue 666"/>
    <x v="1"/>
    <x v="0"/>
    <x v="0"/>
    <x v="7"/>
    <x v="0"/>
    <s v="Client 666"/>
    <x v="115"/>
    <m/>
    <x v="23"/>
  </r>
  <r>
    <s v="CS-686"/>
    <n v="686"/>
    <x v="0"/>
    <s v="Issue 667"/>
    <x v="1"/>
    <x v="0"/>
    <x v="0"/>
    <x v="1"/>
    <x v="5"/>
    <s v="Client 667"/>
    <x v="115"/>
    <m/>
    <x v="101"/>
  </r>
  <r>
    <s v="CS-687"/>
    <n v="687"/>
    <x v="0"/>
    <s v="Issue 668"/>
    <x v="1"/>
    <x v="0"/>
    <x v="0"/>
    <x v="9"/>
    <x v="4"/>
    <s v="Client 668"/>
    <x v="115"/>
    <m/>
    <x v="123"/>
  </r>
  <r>
    <s v="CS-688"/>
    <n v="688"/>
    <x v="0"/>
    <s v="Issue 669"/>
    <x v="1"/>
    <x v="1"/>
    <x v="0"/>
    <x v="0"/>
    <x v="3"/>
    <s v="Client 669"/>
    <x v="115"/>
    <m/>
    <x v="117"/>
  </r>
  <r>
    <s v="CS-689"/>
    <n v="689"/>
    <x v="1"/>
    <s v="Issue 670"/>
    <x v="1"/>
    <x v="1"/>
    <x v="0"/>
    <x v="2"/>
    <x v="0"/>
    <s v="Client 670"/>
    <x v="115"/>
    <m/>
    <x v="1"/>
  </r>
  <r>
    <s v="CS-690"/>
    <n v="690"/>
    <x v="0"/>
    <s v="Issue 671"/>
    <x v="2"/>
    <x v="0"/>
    <x v="0"/>
    <x v="2"/>
    <x v="3"/>
    <s v="Client 671"/>
    <x v="115"/>
    <m/>
    <x v="1"/>
  </r>
  <r>
    <s v="CS-691"/>
    <n v="691"/>
    <x v="0"/>
    <s v="Issue 672"/>
    <x v="3"/>
    <x v="0"/>
    <x v="0"/>
    <x v="0"/>
    <x v="5"/>
    <s v="Client 672"/>
    <x v="115"/>
    <m/>
    <x v="124"/>
  </r>
  <r>
    <s v="CS-692"/>
    <n v="692"/>
    <x v="0"/>
    <s v="Issue 673"/>
    <x v="1"/>
    <x v="0"/>
    <x v="0"/>
    <x v="7"/>
    <x v="6"/>
    <s v="Client 673"/>
    <x v="115"/>
    <m/>
    <x v="125"/>
  </r>
  <r>
    <s v="CS-693"/>
    <n v="693"/>
    <x v="0"/>
    <s v="Issue 674"/>
    <x v="1"/>
    <x v="0"/>
    <x v="0"/>
    <x v="0"/>
    <x v="4"/>
    <s v="Client 674"/>
    <x v="115"/>
    <m/>
    <x v="122"/>
  </r>
  <r>
    <s v="CS-694"/>
    <n v="694"/>
    <x v="0"/>
    <s v="Issue 675"/>
    <x v="1"/>
    <x v="0"/>
    <x v="0"/>
    <x v="7"/>
    <x v="1"/>
    <s v="Client 675"/>
    <x v="115"/>
    <m/>
    <x v="111"/>
  </r>
  <r>
    <s v="CS-695"/>
    <n v="695"/>
    <x v="0"/>
    <s v="Issue 676"/>
    <x v="1"/>
    <x v="0"/>
    <x v="0"/>
    <x v="9"/>
    <x v="3"/>
    <s v="Client 676"/>
    <x v="116"/>
    <m/>
    <x v="126"/>
  </r>
  <r>
    <s v="CS-696"/>
    <n v="696"/>
    <x v="0"/>
    <s v="Issue 677"/>
    <x v="1"/>
    <x v="0"/>
    <x v="0"/>
    <x v="7"/>
    <x v="7"/>
    <s v="Client 677"/>
    <x v="116"/>
    <m/>
    <x v="125"/>
  </r>
  <r>
    <s v="CS-697"/>
    <n v="697"/>
    <x v="0"/>
    <s v="Issue 678"/>
    <x v="1"/>
    <x v="0"/>
    <x v="0"/>
    <x v="7"/>
    <x v="5"/>
    <s v="Client 678"/>
    <x v="116"/>
    <m/>
    <x v="127"/>
  </r>
  <r>
    <s v="CS-698"/>
    <n v="698"/>
    <x v="0"/>
    <s v="Issue 679"/>
    <x v="3"/>
    <x v="0"/>
    <x v="0"/>
    <x v="2"/>
    <x v="4"/>
    <s v="Client 679"/>
    <x v="116"/>
    <m/>
    <x v="1"/>
  </r>
  <r>
    <s v="CS-699"/>
    <n v="699"/>
    <x v="0"/>
    <s v="Issue 680"/>
    <x v="1"/>
    <x v="1"/>
    <x v="0"/>
    <x v="7"/>
    <x v="3"/>
    <s v="Client 680"/>
    <x v="116"/>
    <m/>
    <x v="111"/>
  </r>
  <r>
    <s v="CS-700"/>
    <n v="700"/>
    <x v="0"/>
    <s v="Issue 681"/>
    <x v="1"/>
    <x v="0"/>
    <x v="0"/>
    <x v="5"/>
    <x v="1"/>
    <s v="Client 681"/>
    <x v="116"/>
    <m/>
    <x v="95"/>
  </r>
  <r>
    <s v="CS-701"/>
    <n v="701"/>
    <x v="0"/>
    <s v="Issue 682"/>
    <x v="1"/>
    <x v="0"/>
    <x v="0"/>
    <x v="5"/>
    <x v="5"/>
    <s v="Client 682"/>
    <x v="116"/>
    <m/>
    <x v="95"/>
  </r>
  <r>
    <s v="CS-702"/>
    <n v="702"/>
    <x v="0"/>
    <s v="Issue 683"/>
    <x v="1"/>
    <x v="0"/>
    <x v="0"/>
    <x v="7"/>
    <x v="0"/>
    <s v="Client 683"/>
    <x v="116"/>
    <m/>
    <x v="125"/>
  </r>
  <r>
    <s v="CS-703"/>
    <n v="703"/>
    <x v="1"/>
    <s v="Issue 684"/>
    <x v="1"/>
    <x v="0"/>
    <x v="0"/>
    <x v="9"/>
    <x v="3"/>
    <s v="Client 684"/>
    <x v="116"/>
    <m/>
    <x v="74"/>
  </r>
  <r>
    <s v="CS-704"/>
    <n v="704"/>
    <x v="0"/>
    <s v="Issue 685"/>
    <x v="1"/>
    <x v="0"/>
    <x v="0"/>
    <x v="7"/>
    <x v="5"/>
    <s v="Client 685"/>
    <x v="116"/>
    <m/>
    <x v="125"/>
  </r>
  <r>
    <s v="CS-705"/>
    <n v="705"/>
    <x v="0"/>
    <s v="Issue 686"/>
    <x v="1"/>
    <x v="1"/>
    <x v="0"/>
    <x v="0"/>
    <x v="3"/>
    <s v="Client 686"/>
    <x v="116"/>
    <m/>
    <x v="1"/>
  </r>
  <r>
    <s v="CS-706"/>
    <n v="706"/>
    <x v="0"/>
    <s v="Issue 687"/>
    <x v="1"/>
    <x v="0"/>
    <x v="0"/>
    <x v="7"/>
    <x v="4"/>
    <s v="Client 687"/>
    <x v="117"/>
    <m/>
    <x v="91"/>
  </r>
  <r>
    <s v="CS-707"/>
    <n v="707"/>
    <x v="0"/>
    <s v="Issue 688"/>
    <x v="1"/>
    <x v="0"/>
    <x v="0"/>
    <x v="9"/>
    <x v="5"/>
    <s v="Client 688"/>
    <x v="117"/>
    <m/>
    <x v="128"/>
  </r>
  <r>
    <s v="CS-708"/>
    <n v="708"/>
    <x v="0"/>
    <s v="Issue 689"/>
    <x v="1"/>
    <x v="0"/>
    <x v="0"/>
    <x v="7"/>
    <x v="4"/>
    <s v="Client 689"/>
    <x v="117"/>
    <m/>
    <x v="91"/>
  </r>
  <r>
    <s v="CS-709"/>
    <n v="709"/>
    <x v="0"/>
    <s v="Issue 690"/>
    <x v="1"/>
    <x v="0"/>
    <x v="0"/>
    <x v="0"/>
    <x v="0"/>
    <s v="Client 690"/>
    <x v="117"/>
    <m/>
    <x v="23"/>
  </r>
  <r>
    <s v="CS-710"/>
    <n v="710"/>
    <x v="0"/>
    <s v="Issue 691"/>
    <x v="2"/>
    <x v="0"/>
    <x v="0"/>
    <x v="9"/>
    <x v="4"/>
    <s v="Client 691"/>
    <x v="118"/>
    <m/>
    <x v="129"/>
  </r>
  <r>
    <s v="CS-711"/>
    <n v="711"/>
    <x v="0"/>
    <s v="Issue 692"/>
    <x v="1"/>
    <x v="0"/>
    <x v="0"/>
    <x v="9"/>
    <x v="6"/>
    <s v="Client 692"/>
    <x v="118"/>
    <m/>
    <x v="130"/>
  </r>
  <r>
    <s v="CS-712"/>
    <n v="712"/>
    <x v="0"/>
    <s v="Issue 693"/>
    <x v="1"/>
    <x v="0"/>
    <x v="0"/>
    <x v="9"/>
    <x v="3"/>
    <s v="Client 693"/>
    <x v="118"/>
    <m/>
    <x v="126"/>
  </r>
  <r>
    <s v="CS-713"/>
    <n v="713"/>
    <x v="0"/>
    <s v="Issue 694"/>
    <x v="2"/>
    <x v="1"/>
    <x v="0"/>
    <x v="9"/>
    <x v="3"/>
    <s v="Client 694"/>
    <x v="119"/>
    <m/>
    <x v="1"/>
  </r>
  <r>
    <s v="CS-714"/>
    <n v="714"/>
    <x v="0"/>
    <s v="Issue 695"/>
    <x v="1"/>
    <x v="0"/>
    <x v="0"/>
    <x v="7"/>
    <x v="5"/>
    <s v="Client 695"/>
    <x v="119"/>
    <m/>
    <x v="90"/>
  </r>
  <r>
    <s v="CS-715"/>
    <n v="715"/>
    <x v="0"/>
    <s v="Issue 696"/>
    <x v="1"/>
    <x v="1"/>
    <x v="0"/>
    <x v="7"/>
    <x v="1"/>
    <s v="Client 696"/>
    <x v="119"/>
    <m/>
    <x v="90"/>
  </r>
  <r>
    <s v="CS-716"/>
    <n v="716"/>
    <x v="0"/>
    <s v="Issue 697"/>
    <x v="1"/>
    <x v="0"/>
    <x v="0"/>
    <x v="7"/>
    <x v="7"/>
    <s v="Client 697"/>
    <x v="119"/>
    <m/>
    <x v="120"/>
  </r>
  <r>
    <s v="CS-717"/>
    <n v="717"/>
    <x v="0"/>
    <s v="Issue 698"/>
    <x v="1"/>
    <x v="0"/>
    <x v="0"/>
    <x v="9"/>
    <x v="3"/>
    <s v="Client 698"/>
    <x v="119"/>
    <m/>
    <x v="105"/>
  </r>
  <r>
    <s v="CS-718"/>
    <n v="718"/>
    <x v="0"/>
    <s v="Issue 699"/>
    <x v="1"/>
    <x v="0"/>
    <x v="0"/>
    <x v="9"/>
    <x v="3"/>
    <s v="Client 699"/>
    <x v="119"/>
    <m/>
    <x v="107"/>
  </r>
  <r>
    <s v="CS-719"/>
    <n v="719"/>
    <x v="0"/>
    <s v="Issue 700"/>
    <x v="1"/>
    <x v="0"/>
    <x v="0"/>
    <x v="0"/>
    <x v="5"/>
    <s v="Client 700"/>
    <x v="119"/>
    <m/>
    <x v="114"/>
  </r>
  <r>
    <s v="CS-720"/>
    <n v="720"/>
    <x v="0"/>
    <s v="Issue 701"/>
    <x v="1"/>
    <x v="0"/>
    <x v="0"/>
    <x v="7"/>
    <x v="4"/>
    <s v="Client 701"/>
    <x v="119"/>
    <m/>
    <x v="90"/>
  </r>
  <r>
    <s v="CS-721"/>
    <n v="721"/>
    <x v="0"/>
    <s v="Issue 702"/>
    <x v="2"/>
    <x v="0"/>
    <x v="0"/>
    <x v="9"/>
    <x v="6"/>
    <s v="Client 702"/>
    <x v="119"/>
    <m/>
    <x v="1"/>
  </r>
  <r>
    <s v="CS-722"/>
    <n v="722"/>
    <x v="0"/>
    <s v="Issue 703"/>
    <x v="1"/>
    <x v="0"/>
    <x v="0"/>
    <x v="9"/>
    <x v="0"/>
    <s v="Client 703"/>
    <x v="120"/>
    <m/>
    <x v="123"/>
  </r>
  <r>
    <s v="CS-723"/>
    <n v="723"/>
    <x v="0"/>
    <s v="Issue 704"/>
    <x v="1"/>
    <x v="0"/>
    <x v="0"/>
    <x v="9"/>
    <x v="1"/>
    <s v="Client 704"/>
    <x v="120"/>
    <m/>
    <x v="77"/>
  </r>
  <r>
    <s v="CS-724"/>
    <n v="724"/>
    <x v="0"/>
    <s v="Issue 705"/>
    <x v="1"/>
    <x v="0"/>
    <x v="0"/>
    <x v="7"/>
    <x v="0"/>
    <s v="Client 705"/>
    <x v="120"/>
    <m/>
    <x v="1"/>
  </r>
  <r>
    <s v="CS-725"/>
    <n v="725"/>
    <x v="0"/>
    <s v="Issue 706"/>
    <x v="1"/>
    <x v="0"/>
    <x v="0"/>
    <x v="7"/>
    <x v="5"/>
    <s v="Client 706"/>
    <x v="120"/>
    <m/>
    <x v="131"/>
  </r>
  <r>
    <s v="CS-726"/>
    <n v="726"/>
    <x v="0"/>
    <s v="Issue 707"/>
    <x v="1"/>
    <x v="0"/>
    <x v="0"/>
    <x v="9"/>
    <x v="5"/>
    <s v="Client 707"/>
    <x v="121"/>
    <m/>
    <x v="94"/>
  </r>
  <r>
    <s v="CS-727"/>
    <n v="727"/>
    <x v="0"/>
    <s v="Issue 708"/>
    <x v="1"/>
    <x v="0"/>
    <x v="0"/>
    <x v="9"/>
    <x v="5"/>
    <s v="Client 708"/>
    <x v="121"/>
    <m/>
    <x v="64"/>
  </r>
  <r>
    <s v="CS-728"/>
    <n v="728"/>
    <x v="0"/>
    <s v="Issue 709"/>
    <x v="1"/>
    <x v="0"/>
    <x v="0"/>
    <x v="0"/>
    <x v="1"/>
    <s v="Client 709"/>
    <x v="122"/>
    <m/>
    <x v="97"/>
  </r>
  <r>
    <s v="CS-729"/>
    <n v="729"/>
    <x v="0"/>
    <s v="Issue 710"/>
    <x v="1"/>
    <x v="0"/>
    <x v="0"/>
    <x v="0"/>
    <x v="4"/>
    <s v="Client 710"/>
    <x v="122"/>
    <m/>
    <x v="74"/>
  </r>
  <r>
    <s v="CS-730"/>
    <n v="730"/>
    <x v="0"/>
    <s v="Issue 711"/>
    <x v="1"/>
    <x v="0"/>
    <x v="0"/>
    <x v="7"/>
    <x v="5"/>
    <s v="Client 711"/>
    <x v="122"/>
    <m/>
    <x v="132"/>
  </r>
  <r>
    <s v="CS-731"/>
    <n v="731"/>
    <x v="0"/>
    <s v="Issue 712"/>
    <x v="1"/>
    <x v="0"/>
    <x v="0"/>
    <x v="0"/>
    <x v="3"/>
    <s v="Client 712"/>
    <x v="122"/>
    <m/>
    <x v="94"/>
  </r>
  <r>
    <s v="CS-732"/>
    <n v="732"/>
    <x v="0"/>
    <s v="Issue 713"/>
    <x v="1"/>
    <x v="1"/>
    <x v="0"/>
    <x v="7"/>
    <x v="5"/>
    <s v="Client 713"/>
    <x v="123"/>
    <m/>
    <x v="1"/>
  </r>
  <r>
    <s v="CS-733"/>
    <n v="733"/>
    <x v="0"/>
    <s v="Issue 714"/>
    <x v="1"/>
    <x v="0"/>
    <x v="0"/>
    <x v="7"/>
    <x v="4"/>
    <s v="Client 714"/>
    <x v="123"/>
    <m/>
    <x v="23"/>
  </r>
  <r>
    <s v="CS-734"/>
    <n v="734"/>
    <x v="0"/>
    <s v="Issue 715"/>
    <x v="1"/>
    <x v="0"/>
    <x v="0"/>
    <x v="9"/>
    <x v="3"/>
    <s v="Client 715"/>
    <x v="123"/>
    <m/>
    <x v="83"/>
  </r>
  <r>
    <s v="CS-735"/>
    <n v="735"/>
    <x v="0"/>
    <s v="Issue 716"/>
    <x v="1"/>
    <x v="0"/>
    <x v="0"/>
    <x v="9"/>
    <x v="1"/>
    <s v="Client 716"/>
    <x v="123"/>
    <m/>
    <x v="56"/>
  </r>
  <r>
    <s v="CS-736"/>
    <n v="736"/>
    <x v="0"/>
    <s v="Issue 717"/>
    <x v="1"/>
    <x v="0"/>
    <x v="0"/>
    <x v="7"/>
    <x v="4"/>
    <s v="Client 717"/>
    <x v="123"/>
    <m/>
    <x v="118"/>
  </r>
  <r>
    <s v="CS-737"/>
    <n v="737"/>
    <x v="0"/>
    <s v="Issue 718"/>
    <x v="1"/>
    <x v="0"/>
    <x v="0"/>
    <x v="7"/>
    <x v="0"/>
    <s v="Client 718"/>
    <x v="123"/>
    <m/>
    <x v="23"/>
  </r>
  <r>
    <s v="CS-738"/>
    <n v="738"/>
    <x v="0"/>
    <s v="Issue 719"/>
    <x v="1"/>
    <x v="0"/>
    <x v="0"/>
    <x v="7"/>
    <x v="4"/>
    <s v="Client 719"/>
    <x v="123"/>
    <m/>
    <x v="133"/>
  </r>
  <r>
    <s v="CS-739"/>
    <n v="739"/>
    <x v="0"/>
    <s v="Issue 720"/>
    <x v="1"/>
    <x v="0"/>
    <x v="0"/>
    <x v="9"/>
    <x v="1"/>
    <s v="Client 720"/>
    <x v="123"/>
    <m/>
    <x v="106"/>
  </r>
  <r>
    <s v="CS-740"/>
    <n v="740"/>
    <x v="0"/>
    <s v="Issue 721"/>
    <x v="1"/>
    <x v="0"/>
    <x v="0"/>
    <x v="7"/>
    <x v="0"/>
    <s v="Client 721"/>
    <x v="123"/>
    <m/>
    <x v="133"/>
  </r>
  <r>
    <s v="CS-741"/>
    <n v="741"/>
    <x v="0"/>
    <s v="Issue 722"/>
    <x v="1"/>
    <x v="0"/>
    <x v="0"/>
    <x v="7"/>
    <x v="3"/>
    <s v="Client 722"/>
    <x v="123"/>
    <m/>
    <x v="106"/>
  </r>
  <r>
    <s v="CS-742"/>
    <n v="742"/>
    <x v="0"/>
    <s v="Issue 723"/>
    <x v="1"/>
    <x v="0"/>
    <x v="0"/>
    <x v="7"/>
    <x v="4"/>
    <s v="Client 723"/>
    <x v="123"/>
    <m/>
    <x v="111"/>
  </r>
  <r>
    <s v="CS-743"/>
    <n v="743"/>
    <x v="0"/>
    <s v="Issue 724"/>
    <x v="1"/>
    <x v="1"/>
    <x v="0"/>
    <x v="9"/>
    <x v="3"/>
    <s v="Client 724"/>
    <x v="123"/>
    <m/>
    <x v="1"/>
  </r>
  <r>
    <s v="CS-744"/>
    <n v="744"/>
    <x v="0"/>
    <s v="Issue 725"/>
    <x v="3"/>
    <x v="0"/>
    <x v="0"/>
    <x v="0"/>
    <x v="1"/>
    <s v="Client 725"/>
    <x v="123"/>
    <m/>
    <x v="23"/>
  </r>
  <r>
    <s v="CS-745"/>
    <n v="745"/>
    <x v="0"/>
    <s v="Issue 726"/>
    <x v="3"/>
    <x v="0"/>
    <x v="0"/>
    <x v="1"/>
    <x v="5"/>
    <s v="Client 726"/>
    <x v="124"/>
    <m/>
    <x v="134"/>
  </r>
  <r>
    <s v="CS-746"/>
    <n v="746"/>
    <x v="0"/>
    <s v="Issue 727"/>
    <x v="1"/>
    <x v="0"/>
    <x v="0"/>
    <x v="9"/>
    <x v="3"/>
    <s v="Client 727"/>
    <x v="124"/>
    <m/>
    <x v="135"/>
  </r>
  <r>
    <s v="CS-747"/>
    <n v="747"/>
    <x v="0"/>
    <s v="Issue 728"/>
    <x v="1"/>
    <x v="0"/>
    <x v="0"/>
    <x v="7"/>
    <x v="4"/>
    <s v="Client 728"/>
    <x v="124"/>
    <m/>
    <x v="23"/>
  </r>
  <r>
    <s v="CS-748"/>
    <n v="748"/>
    <x v="0"/>
    <s v="Issue 729"/>
    <x v="1"/>
    <x v="0"/>
    <x v="0"/>
    <x v="9"/>
    <x v="5"/>
    <s v="Client 729"/>
    <x v="124"/>
    <m/>
    <x v="136"/>
  </r>
  <r>
    <s v="CS-749"/>
    <n v="749"/>
    <x v="0"/>
    <s v="Issue 730"/>
    <x v="1"/>
    <x v="0"/>
    <x v="0"/>
    <x v="0"/>
    <x v="4"/>
    <s v="Client 730"/>
    <x v="124"/>
    <m/>
    <x v="127"/>
  </r>
  <r>
    <s v="CS-750"/>
    <n v="750"/>
    <x v="0"/>
    <s v="Issue 731"/>
    <x v="1"/>
    <x v="0"/>
    <x v="0"/>
    <x v="7"/>
    <x v="0"/>
    <s v="Client 731"/>
    <x v="124"/>
    <m/>
    <x v="23"/>
  </r>
  <r>
    <s v="CS-751"/>
    <n v="751"/>
    <x v="0"/>
    <s v="Issue 732"/>
    <x v="1"/>
    <x v="0"/>
    <x v="0"/>
    <x v="9"/>
    <x v="1"/>
    <s v="Client 732"/>
    <x v="124"/>
    <m/>
    <x v="123"/>
  </r>
  <r>
    <s v="CS-752"/>
    <n v="752"/>
    <x v="0"/>
    <s v="Issue 733"/>
    <x v="1"/>
    <x v="0"/>
    <x v="0"/>
    <x v="7"/>
    <x v="3"/>
    <s v="Client 733"/>
    <x v="124"/>
    <m/>
    <x v="120"/>
  </r>
  <r>
    <s v="CS-753"/>
    <n v="753"/>
    <x v="0"/>
    <s v="Issue 734"/>
    <x v="1"/>
    <x v="0"/>
    <x v="0"/>
    <x v="7"/>
    <x v="5"/>
    <s v="Client 734"/>
    <x v="124"/>
    <m/>
    <x v="23"/>
  </r>
  <r>
    <s v="CS-754"/>
    <n v="754"/>
    <x v="0"/>
    <s v="Issue 735"/>
    <x v="1"/>
    <x v="0"/>
    <x v="0"/>
    <x v="7"/>
    <x v="6"/>
    <s v="Client 735"/>
    <x v="124"/>
    <m/>
    <x v="23"/>
  </r>
  <r>
    <s v="CS-755"/>
    <n v="755"/>
    <x v="0"/>
    <s v="Issue 736"/>
    <x v="1"/>
    <x v="0"/>
    <x v="0"/>
    <x v="7"/>
    <x v="2"/>
    <s v="Client 736"/>
    <x v="124"/>
    <m/>
    <x v="1"/>
  </r>
  <r>
    <s v="CS-756"/>
    <n v="756"/>
    <x v="0"/>
    <s v="Issue 737"/>
    <x v="1"/>
    <x v="0"/>
    <x v="0"/>
    <x v="7"/>
    <x v="3"/>
    <s v="Client 737"/>
    <x v="125"/>
    <m/>
    <x v="137"/>
  </r>
  <r>
    <s v="CS-757"/>
    <n v="757"/>
    <x v="0"/>
    <s v="Issue 738"/>
    <x v="1"/>
    <x v="1"/>
    <x v="0"/>
    <x v="9"/>
    <x v="4"/>
    <s v="Client 738"/>
    <x v="126"/>
    <m/>
    <x v="1"/>
  </r>
  <r>
    <s v="CS-758"/>
    <n v="758"/>
    <x v="0"/>
    <s v="Issue 739"/>
    <x v="1"/>
    <x v="0"/>
    <x v="0"/>
    <x v="7"/>
    <x v="4"/>
    <s v="Client 739"/>
    <x v="127"/>
    <m/>
    <x v="138"/>
  </r>
  <r>
    <s v="CS-759"/>
    <n v="759"/>
    <x v="1"/>
    <s v="Issue 740"/>
    <x v="1"/>
    <x v="0"/>
    <x v="0"/>
    <x v="7"/>
    <x v="2"/>
    <s v="Client 740"/>
    <x v="127"/>
    <m/>
    <x v="138"/>
  </r>
  <r>
    <s v="CS-760"/>
    <n v="760"/>
    <x v="1"/>
    <s v="Issue 741"/>
    <x v="1"/>
    <x v="0"/>
    <x v="0"/>
    <x v="1"/>
    <x v="7"/>
    <s v="Client 741"/>
    <x v="127"/>
    <m/>
    <x v="139"/>
  </r>
  <r>
    <s v="CS-761"/>
    <n v="761"/>
    <x v="1"/>
    <s v="Issue 742"/>
    <x v="1"/>
    <x v="0"/>
    <x v="0"/>
    <x v="7"/>
    <x v="4"/>
    <s v="Client 742"/>
    <x v="127"/>
    <m/>
    <x v="138"/>
  </r>
  <r>
    <s v="CS-762"/>
    <n v="762"/>
    <x v="1"/>
    <s v="Issue 743"/>
    <x v="1"/>
    <x v="0"/>
    <x v="0"/>
    <x v="8"/>
    <x v="7"/>
    <s v="Client 743"/>
    <x v="127"/>
    <m/>
    <x v="77"/>
  </r>
  <r>
    <s v="CS-763"/>
    <n v="763"/>
    <x v="0"/>
    <s v="Issue 744"/>
    <x v="1"/>
    <x v="0"/>
    <x v="0"/>
    <x v="9"/>
    <x v="3"/>
    <s v="Client 744"/>
    <x v="127"/>
    <m/>
    <x v="140"/>
  </r>
  <r>
    <s v="CS-764"/>
    <n v="764"/>
    <x v="0"/>
    <s v="Issue 745"/>
    <x v="1"/>
    <x v="0"/>
    <x v="0"/>
    <x v="9"/>
    <x v="1"/>
    <s v="Client 745"/>
    <x v="127"/>
    <m/>
    <x v="104"/>
  </r>
  <r>
    <s v="CS-765"/>
    <n v="765"/>
    <x v="0"/>
    <s v="Issue 746"/>
    <x v="1"/>
    <x v="0"/>
    <x v="0"/>
    <x v="0"/>
    <x v="1"/>
    <s v="Client 746"/>
    <x v="127"/>
    <m/>
    <x v="98"/>
  </r>
  <r>
    <s v="CS-766"/>
    <n v="766"/>
    <x v="0"/>
    <s v="Issue 747"/>
    <x v="1"/>
    <x v="0"/>
    <x v="0"/>
    <x v="7"/>
    <x v="0"/>
    <s v="Client 747"/>
    <x v="127"/>
    <m/>
    <x v="138"/>
  </r>
  <r>
    <s v="CS-767"/>
    <n v="767"/>
    <x v="0"/>
    <s v="Issue 748"/>
    <x v="1"/>
    <x v="0"/>
    <x v="0"/>
    <x v="7"/>
    <x v="0"/>
    <s v="Client 748"/>
    <x v="127"/>
    <m/>
    <x v="138"/>
  </r>
  <r>
    <s v="CS-768"/>
    <n v="768"/>
    <x v="0"/>
    <s v="Issue 749"/>
    <x v="1"/>
    <x v="0"/>
    <x v="0"/>
    <x v="9"/>
    <x v="1"/>
    <s v="Client 749"/>
    <x v="128"/>
    <m/>
    <x v="104"/>
  </r>
  <r>
    <s v="CS-769"/>
    <n v="769"/>
    <x v="0"/>
    <s v="Issue 750"/>
    <x v="1"/>
    <x v="0"/>
    <x v="0"/>
    <x v="7"/>
    <x v="0"/>
    <s v="Client 750"/>
    <x v="128"/>
    <m/>
    <x v="137"/>
  </r>
  <r>
    <s v="CS-770"/>
    <n v="770"/>
    <x v="0"/>
    <s v="Issue 751"/>
    <x v="1"/>
    <x v="0"/>
    <x v="0"/>
    <x v="7"/>
    <x v="3"/>
    <s v="Client 751"/>
    <x v="128"/>
    <m/>
    <x v="141"/>
  </r>
  <r>
    <s v="CS-771"/>
    <n v="771"/>
    <x v="0"/>
    <s v="Issue 752"/>
    <x v="1"/>
    <x v="0"/>
    <x v="0"/>
    <x v="7"/>
    <x v="6"/>
    <s v="Client 752"/>
    <x v="128"/>
    <m/>
    <x v="112"/>
  </r>
  <r>
    <s v="CS-772"/>
    <n v="772"/>
    <x v="0"/>
    <s v="Issue 753"/>
    <x v="1"/>
    <x v="0"/>
    <x v="0"/>
    <x v="9"/>
    <x v="1"/>
    <s v="Client 753"/>
    <x v="128"/>
    <m/>
    <x v="142"/>
  </r>
  <r>
    <s v="CS-773"/>
    <n v="773"/>
    <x v="0"/>
    <s v="Issue 754"/>
    <x v="1"/>
    <x v="0"/>
    <x v="0"/>
    <x v="7"/>
    <x v="0"/>
    <s v="Client 754"/>
    <x v="129"/>
    <m/>
    <x v="127"/>
  </r>
  <r>
    <s v="CS-774"/>
    <n v="774"/>
    <x v="0"/>
    <s v="Issue 755"/>
    <x v="1"/>
    <x v="0"/>
    <x v="0"/>
    <x v="7"/>
    <x v="2"/>
    <s v="Client 755"/>
    <x v="130"/>
    <m/>
    <x v="143"/>
  </r>
  <r>
    <s v="CS-775"/>
    <n v="775"/>
    <x v="0"/>
    <s v="Issue 756"/>
    <x v="1"/>
    <x v="0"/>
    <x v="0"/>
    <x v="9"/>
    <x v="4"/>
    <s v="Client 756"/>
    <x v="130"/>
    <m/>
    <x v="129"/>
  </r>
  <r>
    <s v="CS-776"/>
    <n v="776"/>
    <x v="1"/>
    <s v="Issue 757"/>
    <x v="1"/>
    <x v="0"/>
    <x v="0"/>
    <x v="7"/>
    <x v="0"/>
    <s v="Client 757"/>
    <x v="130"/>
    <m/>
    <x v="143"/>
  </r>
  <r>
    <s v="CS-777"/>
    <n v="777"/>
    <x v="0"/>
    <s v="Issue 758"/>
    <x v="1"/>
    <x v="0"/>
    <x v="0"/>
    <x v="9"/>
    <x v="3"/>
    <s v="Client 758"/>
    <x v="131"/>
    <m/>
    <x v="144"/>
  </r>
  <r>
    <s v="CS-778"/>
    <n v="778"/>
    <x v="0"/>
    <s v="Issue 759"/>
    <x v="1"/>
    <x v="0"/>
    <x v="0"/>
    <x v="7"/>
    <x v="6"/>
    <s v="Client 759"/>
    <x v="131"/>
    <m/>
    <x v="112"/>
  </r>
  <r>
    <s v="CS-779"/>
    <n v="779"/>
    <x v="0"/>
    <s v="Issue 760"/>
    <x v="2"/>
    <x v="0"/>
    <x v="0"/>
    <x v="9"/>
    <x v="0"/>
    <s v="Client 760"/>
    <x v="131"/>
    <m/>
    <x v="101"/>
  </r>
  <r>
    <s v="CS-780"/>
    <n v="780"/>
    <x v="0"/>
    <s v="Issue 761"/>
    <x v="1"/>
    <x v="1"/>
    <x v="0"/>
    <x v="7"/>
    <x v="5"/>
    <s v="Client 761"/>
    <x v="131"/>
    <m/>
    <x v="1"/>
  </r>
  <r>
    <s v="CS-781"/>
    <n v="781"/>
    <x v="0"/>
    <s v="Issue 762"/>
    <x v="1"/>
    <x v="0"/>
    <x v="0"/>
    <x v="7"/>
    <x v="6"/>
    <s v="Client 762"/>
    <x v="131"/>
    <m/>
    <x v="112"/>
  </r>
  <r>
    <s v="CS-782"/>
    <n v="782"/>
    <x v="0"/>
    <s v="Issue 763"/>
    <x v="1"/>
    <x v="0"/>
    <x v="0"/>
    <x v="9"/>
    <x v="1"/>
    <s v="Client 763"/>
    <x v="131"/>
    <m/>
    <x v="64"/>
  </r>
  <r>
    <s v="CS-783"/>
    <n v="783"/>
    <x v="0"/>
    <s v="Issue 764"/>
    <x v="1"/>
    <x v="0"/>
    <x v="0"/>
    <x v="7"/>
    <x v="0"/>
    <s v="Client 764"/>
    <x v="131"/>
    <m/>
    <x v="141"/>
  </r>
  <r>
    <s v="CS-784"/>
    <n v="784"/>
    <x v="0"/>
    <s v="Issue 765"/>
    <x v="1"/>
    <x v="0"/>
    <x v="0"/>
    <x v="7"/>
    <x v="2"/>
    <s v="Client 765"/>
    <x v="131"/>
    <m/>
    <x v="1"/>
  </r>
  <r>
    <s v="CS-785"/>
    <n v="785"/>
    <x v="0"/>
    <s v="Issue 766"/>
    <x v="1"/>
    <x v="0"/>
    <x v="0"/>
    <x v="7"/>
    <x v="4"/>
    <s v="Client 766"/>
    <x v="131"/>
    <m/>
    <x v="141"/>
  </r>
  <r>
    <s v="CS-786"/>
    <n v="786"/>
    <x v="0"/>
    <s v="Issue 767"/>
    <x v="3"/>
    <x v="0"/>
    <x v="0"/>
    <x v="9"/>
    <x v="6"/>
    <s v="Client 767"/>
    <x v="131"/>
    <m/>
    <x v="145"/>
  </r>
  <r>
    <s v="CS-787"/>
    <n v="787"/>
    <x v="0"/>
    <s v="Issue 768"/>
    <x v="1"/>
    <x v="0"/>
    <x v="0"/>
    <x v="9"/>
    <x v="3"/>
    <s v="Client 768"/>
    <x v="131"/>
    <m/>
    <x v="136"/>
  </r>
  <r>
    <s v="CS-788"/>
    <n v="788"/>
    <x v="0"/>
    <s v="Issue 769"/>
    <x v="1"/>
    <x v="0"/>
    <x v="0"/>
    <x v="7"/>
    <x v="6"/>
    <s v="Client 769"/>
    <x v="131"/>
    <m/>
    <x v="112"/>
  </r>
  <r>
    <s v="CS-789"/>
    <n v="789"/>
    <x v="1"/>
    <s v="Issue 770"/>
    <x v="1"/>
    <x v="0"/>
    <x v="0"/>
    <x v="7"/>
    <x v="7"/>
    <s v="Client 770"/>
    <x v="132"/>
    <m/>
    <x v="146"/>
  </r>
  <r>
    <s v="CS-790"/>
    <n v="790"/>
    <x v="0"/>
    <s v="Issue 771"/>
    <x v="1"/>
    <x v="0"/>
    <x v="0"/>
    <x v="7"/>
    <x v="6"/>
    <s v="Client 771"/>
    <x v="132"/>
    <m/>
    <x v="112"/>
  </r>
  <r>
    <s v="CS-791"/>
    <n v="791"/>
    <x v="0"/>
    <s v="Issue 772"/>
    <x v="2"/>
    <x v="1"/>
    <x v="0"/>
    <x v="9"/>
    <x v="5"/>
    <s v="Client 772"/>
    <x v="132"/>
    <m/>
    <x v="1"/>
  </r>
  <r>
    <s v="CS-792"/>
    <n v="792"/>
    <x v="0"/>
    <s v="Issue 773"/>
    <x v="3"/>
    <x v="0"/>
    <x v="0"/>
    <x v="9"/>
    <x v="1"/>
    <s v="Client 773"/>
    <x v="132"/>
    <m/>
    <x v="1"/>
  </r>
  <r>
    <s v="CS-793"/>
    <n v="793"/>
    <x v="0"/>
    <s v="Issue 774"/>
    <x v="1"/>
    <x v="0"/>
    <x v="0"/>
    <x v="7"/>
    <x v="6"/>
    <s v="Client 774"/>
    <x v="132"/>
    <m/>
    <x v="112"/>
  </r>
  <r>
    <s v="CS-794"/>
    <n v="794"/>
    <x v="0"/>
    <s v="Issue 775"/>
    <x v="1"/>
    <x v="1"/>
    <x v="0"/>
    <x v="9"/>
    <x v="3"/>
    <s v="Client 775"/>
    <x v="132"/>
    <m/>
    <x v="1"/>
  </r>
  <r>
    <s v="CS-795"/>
    <n v="795"/>
    <x v="0"/>
    <s v="Issue 776"/>
    <x v="1"/>
    <x v="0"/>
    <x v="0"/>
    <x v="7"/>
    <x v="6"/>
    <s v="Client 776"/>
    <x v="132"/>
    <m/>
    <x v="112"/>
  </r>
  <r>
    <s v="CS-796"/>
    <n v="796"/>
    <x v="0"/>
    <s v="Issue 777"/>
    <x v="2"/>
    <x v="1"/>
    <x v="0"/>
    <x v="9"/>
    <x v="3"/>
    <s v="Client 777"/>
    <x v="132"/>
    <m/>
    <x v="1"/>
  </r>
  <r>
    <s v="CS-797"/>
    <n v="797"/>
    <x v="0"/>
    <s v="Issue 778"/>
    <x v="1"/>
    <x v="0"/>
    <x v="0"/>
    <x v="0"/>
    <x v="5"/>
    <s v="Client 778"/>
    <x v="132"/>
    <m/>
    <x v="100"/>
  </r>
  <r>
    <s v="CS-798"/>
    <n v="798"/>
    <x v="1"/>
    <s v="Issue 779"/>
    <x v="3"/>
    <x v="0"/>
    <x v="0"/>
    <x v="1"/>
    <x v="1"/>
    <s v="Client 779"/>
    <x v="132"/>
    <m/>
    <x v="147"/>
  </r>
  <r>
    <s v="CS-799"/>
    <n v="799"/>
    <x v="0"/>
    <s v="Issue 780"/>
    <x v="1"/>
    <x v="0"/>
    <x v="0"/>
    <x v="9"/>
    <x v="1"/>
    <s v="Client 780"/>
    <x v="133"/>
    <m/>
    <x v="126"/>
  </r>
  <r>
    <s v="CS-800"/>
    <n v="800"/>
    <x v="0"/>
    <s v="Issue 781"/>
    <x v="1"/>
    <x v="0"/>
    <x v="0"/>
    <x v="9"/>
    <x v="0"/>
    <s v="Client 781"/>
    <x v="133"/>
    <m/>
    <x v="106"/>
  </r>
  <r>
    <s v="CS-801"/>
    <n v="801"/>
    <x v="0"/>
    <s v="Issue 782"/>
    <x v="1"/>
    <x v="0"/>
    <x v="0"/>
    <x v="9"/>
    <x v="3"/>
    <s v="Client 782"/>
    <x v="133"/>
    <m/>
    <x v="106"/>
  </r>
  <r>
    <s v="CS-802"/>
    <n v="802"/>
    <x v="0"/>
    <s v="Issue 783"/>
    <x v="1"/>
    <x v="0"/>
    <x v="0"/>
    <x v="7"/>
    <x v="3"/>
    <s v="Client 783"/>
    <x v="133"/>
    <m/>
    <x v="112"/>
  </r>
  <r>
    <s v="CS-803"/>
    <n v="803"/>
    <x v="0"/>
    <s v="Issue 784"/>
    <x v="1"/>
    <x v="0"/>
    <x v="0"/>
    <x v="9"/>
    <x v="3"/>
    <s v="Client 784"/>
    <x v="133"/>
    <m/>
    <x v="130"/>
  </r>
  <r>
    <s v="CS-804"/>
    <n v="804"/>
    <x v="0"/>
    <s v="Issue 785"/>
    <x v="1"/>
    <x v="0"/>
    <x v="0"/>
    <x v="9"/>
    <x v="4"/>
    <s v="Client 785"/>
    <x v="134"/>
    <m/>
    <x v="106"/>
  </r>
  <r>
    <s v="CS-805"/>
    <n v="805"/>
    <x v="1"/>
    <s v="Issue 786"/>
    <x v="1"/>
    <x v="0"/>
    <x v="0"/>
    <x v="7"/>
    <x v="2"/>
    <s v="Client 786"/>
    <x v="134"/>
    <m/>
    <x v="148"/>
  </r>
  <r>
    <s v="CS-806"/>
    <n v="806"/>
    <x v="1"/>
    <s v="Issue 787"/>
    <x v="2"/>
    <x v="0"/>
    <x v="0"/>
    <x v="8"/>
    <x v="1"/>
    <s v="Client 787"/>
    <x v="134"/>
    <m/>
    <x v="80"/>
  </r>
  <r>
    <s v="CS-807"/>
    <n v="807"/>
    <x v="1"/>
    <s v="Issue 788"/>
    <x v="3"/>
    <x v="0"/>
    <x v="0"/>
    <x v="8"/>
    <x v="5"/>
    <s v="Client 788"/>
    <x v="134"/>
    <m/>
    <x v="149"/>
  </r>
  <r>
    <s v="CS-808"/>
    <n v="808"/>
    <x v="1"/>
    <s v="Issue 789"/>
    <x v="2"/>
    <x v="0"/>
    <x v="0"/>
    <x v="1"/>
    <x v="7"/>
    <s v="Client 789"/>
    <x v="134"/>
    <m/>
    <x v="101"/>
  </r>
  <r>
    <s v="CS-809"/>
    <n v="809"/>
    <x v="0"/>
    <s v="Issue 790"/>
    <x v="1"/>
    <x v="0"/>
    <x v="0"/>
    <x v="9"/>
    <x v="3"/>
    <s v="Client 790"/>
    <x v="134"/>
    <m/>
    <x v="110"/>
  </r>
  <r>
    <s v="CS-810"/>
    <n v="810"/>
    <x v="0"/>
    <s v="Issue 791"/>
    <x v="1"/>
    <x v="0"/>
    <x v="0"/>
    <x v="0"/>
    <x v="5"/>
    <s v="Client 791"/>
    <x v="134"/>
    <m/>
    <x v="100"/>
  </r>
  <r>
    <s v="CS-811"/>
    <n v="811"/>
    <x v="0"/>
    <s v="Issue 792"/>
    <x v="2"/>
    <x v="0"/>
    <x v="0"/>
    <x v="0"/>
    <x v="5"/>
    <s v="Client 792"/>
    <x v="134"/>
    <m/>
    <x v="128"/>
  </r>
  <r>
    <s v="CS-812"/>
    <n v="812"/>
    <x v="0"/>
    <s v="Issue 793"/>
    <x v="1"/>
    <x v="0"/>
    <x v="0"/>
    <x v="9"/>
    <x v="4"/>
    <s v="Client 793"/>
    <x v="134"/>
    <m/>
    <x v="104"/>
  </r>
  <r>
    <s v="CS-813"/>
    <n v="813"/>
    <x v="0"/>
    <s v="Issue 794"/>
    <x v="1"/>
    <x v="0"/>
    <x v="0"/>
    <x v="7"/>
    <x v="6"/>
    <s v="Client 794"/>
    <x v="134"/>
    <m/>
    <x v="112"/>
  </r>
  <r>
    <s v="CS-814"/>
    <n v="814"/>
    <x v="0"/>
    <s v="Issue 795"/>
    <x v="1"/>
    <x v="0"/>
    <x v="0"/>
    <x v="7"/>
    <x v="6"/>
    <s v="Client 795"/>
    <x v="134"/>
    <m/>
    <x v="112"/>
  </r>
  <r>
    <s v="CS-815"/>
    <n v="815"/>
    <x v="0"/>
    <s v="Issue 796"/>
    <x v="1"/>
    <x v="0"/>
    <x v="0"/>
    <x v="9"/>
    <x v="3"/>
    <s v="Client 796"/>
    <x v="134"/>
    <m/>
    <x v="104"/>
  </r>
  <r>
    <s v="CS-816"/>
    <n v="816"/>
    <x v="0"/>
    <s v="Issue 797"/>
    <x v="2"/>
    <x v="0"/>
    <x v="0"/>
    <x v="9"/>
    <x v="1"/>
    <s v="Client 797"/>
    <x v="134"/>
    <m/>
    <x v="83"/>
  </r>
  <r>
    <s v="CS-817"/>
    <n v="817"/>
    <x v="0"/>
    <s v="Issue 798"/>
    <x v="1"/>
    <x v="0"/>
    <x v="0"/>
    <x v="9"/>
    <x v="3"/>
    <s v="Client 798"/>
    <x v="134"/>
    <m/>
    <x v="118"/>
  </r>
  <r>
    <s v="CS-818"/>
    <n v="818"/>
    <x v="0"/>
    <s v="Issue 799"/>
    <x v="1"/>
    <x v="0"/>
    <x v="0"/>
    <x v="7"/>
    <x v="6"/>
    <s v="Client 799"/>
    <x v="134"/>
    <m/>
    <x v="112"/>
  </r>
  <r>
    <s v="CS-819"/>
    <n v="819"/>
    <x v="0"/>
    <s v="Issue 800"/>
    <x v="1"/>
    <x v="0"/>
    <x v="0"/>
    <x v="7"/>
    <x v="5"/>
    <s v="Client 800"/>
    <x v="134"/>
    <m/>
    <x v="144"/>
  </r>
  <r>
    <s v="CS-820"/>
    <n v="820"/>
    <x v="0"/>
    <s v="Issue 801"/>
    <x v="1"/>
    <x v="0"/>
    <x v="0"/>
    <x v="7"/>
    <x v="6"/>
    <s v="Client 801"/>
    <x v="135"/>
    <m/>
    <x v="112"/>
  </r>
  <r>
    <s v="CS-821"/>
    <n v="821"/>
    <x v="0"/>
    <s v="Issue 802"/>
    <x v="1"/>
    <x v="0"/>
    <x v="0"/>
    <x v="9"/>
    <x v="3"/>
    <s v="Client 802"/>
    <x v="135"/>
    <m/>
    <x v="112"/>
  </r>
  <r>
    <s v="CS-822"/>
    <n v="822"/>
    <x v="0"/>
    <s v="Issue 803"/>
    <x v="1"/>
    <x v="0"/>
    <x v="0"/>
    <x v="7"/>
    <x v="6"/>
    <s v="Client 803"/>
    <x v="135"/>
    <m/>
    <x v="112"/>
  </r>
  <r>
    <s v="CS-823"/>
    <n v="823"/>
    <x v="0"/>
    <s v="Issue 804"/>
    <x v="1"/>
    <x v="0"/>
    <x v="0"/>
    <x v="7"/>
    <x v="6"/>
    <s v="Client 804"/>
    <x v="135"/>
    <m/>
    <x v="65"/>
  </r>
  <r>
    <s v="CS-824"/>
    <n v="824"/>
    <x v="0"/>
    <s v="Issue 805"/>
    <x v="1"/>
    <x v="0"/>
    <x v="0"/>
    <x v="7"/>
    <x v="6"/>
    <s v="Client 805"/>
    <x v="135"/>
    <m/>
    <x v="65"/>
  </r>
  <r>
    <s v="CS-825"/>
    <n v="825"/>
    <x v="0"/>
    <s v="Issue 806"/>
    <x v="1"/>
    <x v="0"/>
    <x v="0"/>
    <x v="7"/>
    <x v="6"/>
    <s v="Client 806"/>
    <x v="135"/>
    <m/>
    <x v="65"/>
  </r>
  <r>
    <s v="CS-826"/>
    <n v="826"/>
    <x v="0"/>
    <s v="Issue 807"/>
    <x v="1"/>
    <x v="0"/>
    <x v="0"/>
    <x v="7"/>
    <x v="6"/>
    <s v="Client 807"/>
    <x v="135"/>
    <m/>
    <x v="65"/>
  </r>
  <r>
    <s v="CS-827"/>
    <n v="827"/>
    <x v="0"/>
    <s v="Issue 808"/>
    <x v="1"/>
    <x v="0"/>
    <x v="0"/>
    <x v="7"/>
    <x v="6"/>
    <s v="Client 808"/>
    <x v="135"/>
    <m/>
    <x v="65"/>
  </r>
  <r>
    <s v="CS-828"/>
    <n v="828"/>
    <x v="0"/>
    <s v="Issue 809"/>
    <x v="1"/>
    <x v="0"/>
    <x v="0"/>
    <x v="7"/>
    <x v="6"/>
    <s v="Client 809"/>
    <x v="135"/>
    <m/>
    <x v="65"/>
  </r>
  <r>
    <s v="CS-829"/>
    <n v="829"/>
    <x v="0"/>
    <s v="Issue 810"/>
    <x v="1"/>
    <x v="0"/>
    <x v="0"/>
    <x v="9"/>
    <x v="1"/>
    <s v="Client 810"/>
    <x v="135"/>
    <m/>
    <x v="150"/>
  </r>
  <r>
    <s v="CS-830"/>
    <n v="830"/>
    <x v="0"/>
    <s v="Issue 811"/>
    <x v="1"/>
    <x v="0"/>
    <x v="0"/>
    <x v="9"/>
    <x v="3"/>
    <s v="Client 811"/>
    <x v="135"/>
    <m/>
    <x v="106"/>
  </r>
  <r>
    <s v="CS-831"/>
    <n v="831"/>
    <x v="0"/>
    <s v="Issue 812"/>
    <x v="1"/>
    <x v="0"/>
    <x v="0"/>
    <x v="9"/>
    <x v="3"/>
    <s v="Client 812"/>
    <x v="135"/>
    <m/>
    <x v="106"/>
  </r>
  <r>
    <s v="CS-832"/>
    <n v="832"/>
    <x v="0"/>
    <s v="Issue 813"/>
    <x v="1"/>
    <x v="0"/>
    <x v="0"/>
    <x v="7"/>
    <x v="6"/>
    <s v="Client 813"/>
    <x v="135"/>
    <m/>
    <x v="65"/>
  </r>
  <r>
    <s v="CS-833"/>
    <n v="833"/>
    <x v="0"/>
    <s v="Issue 814"/>
    <x v="1"/>
    <x v="0"/>
    <x v="0"/>
    <x v="7"/>
    <x v="6"/>
    <s v="Client 814"/>
    <x v="135"/>
    <m/>
    <x v="65"/>
  </r>
  <r>
    <s v="CS-834"/>
    <n v="834"/>
    <x v="0"/>
    <s v="Issue 815"/>
    <x v="1"/>
    <x v="0"/>
    <x v="0"/>
    <x v="9"/>
    <x v="4"/>
    <s v="Client 815"/>
    <x v="135"/>
    <m/>
    <x v="76"/>
  </r>
  <r>
    <s v="CS-835"/>
    <n v="835"/>
    <x v="0"/>
    <s v="Issue 816"/>
    <x v="1"/>
    <x v="0"/>
    <x v="0"/>
    <x v="9"/>
    <x v="4"/>
    <s v="Client 816"/>
    <x v="135"/>
    <m/>
    <x v="65"/>
  </r>
  <r>
    <s v="CS-836"/>
    <n v="836"/>
    <x v="0"/>
    <s v="Issue 817"/>
    <x v="1"/>
    <x v="0"/>
    <x v="0"/>
    <x v="9"/>
    <x v="1"/>
    <s v="Client 817"/>
    <x v="136"/>
    <m/>
    <x v="106"/>
  </r>
  <r>
    <s v="CS-837"/>
    <n v="837"/>
    <x v="0"/>
    <s v="Issue 818"/>
    <x v="1"/>
    <x v="0"/>
    <x v="0"/>
    <x v="7"/>
    <x v="6"/>
    <s v="Client 818"/>
    <x v="136"/>
    <m/>
    <x v="65"/>
  </r>
  <r>
    <s v="CS-838"/>
    <n v="838"/>
    <x v="0"/>
    <s v="Issue 819"/>
    <x v="1"/>
    <x v="0"/>
    <x v="0"/>
    <x v="9"/>
    <x v="5"/>
    <s v="Client 819"/>
    <x v="136"/>
    <m/>
    <x v="100"/>
  </r>
  <r>
    <s v="CS-839"/>
    <n v="839"/>
    <x v="0"/>
    <s v="Issue 820"/>
    <x v="1"/>
    <x v="0"/>
    <x v="0"/>
    <x v="7"/>
    <x v="6"/>
    <s v="Client 820"/>
    <x v="136"/>
    <m/>
    <x v="65"/>
  </r>
  <r>
    <s v="CS-840"/>
    <n v="840"/>
    <x v="0"/>
    <s v="Issue 821"/>
    <x v="1"/>
    <x v="0"/>
    <x v="0"/>
    <x v="7"/>
    <x v="6"/>
    <s v="Client 821"/>
    <x v="136"/>
    <m/>
    <x v="65"/>
  </r>
  <r>
    <s v="CS-841"/>
    <n v="841"/>
    <x v="0"/>
    <s v="Issue 822"/>
    <x v="1"/>
    <x v="0"/>
    <x v="0"/>
    <x v="7"/>
    <x v="6"/>
    <s v="Client 822"/>
    <x v="136"/>
    <m/>
    <x v="65"/>
  </r>
  <r>
    <s v="CS-842"/>
    <n v="842"/>
    <x v="0"/>
    <s v="Issue 823"/>
    <x v="1"/>
    <x v="0"/>
    <x v="0"/>
    <x v="7"/>
    <x v="6"/>
    <s v="Client 823"/>
    <x v="136"/>
    <m/>
    <x v="65"/>
  </r>
  <r>
    <s v="CS-843"/>
    <n v="843"/>
    <x v="0"/>
    <s v="Issue 824"/>
    <x v="1"/>
    <x v="0"/>
    <x v="0"/>
    <x v="7"/>
    <x v="6"/>
    <s v="Client 824"/>
    <x v="136"/>
    <m/>
    <x v="65"/>
  </r>
  <r>
    <s v="CS-844"/>
    <n v="844"/>
    <x v="0"/>
    <s v="Issue 825"/>
    <x v="1"/>
    <x v="0"/>
    <x v="0"/>
    <x v="7"/>
    <x v="6"/>
    <s v="Client 825"/>
    <x v="136"/>
    <m/>
    <x v="65"/>
  </r>
  <r>
    <s v="CS-845"/>
    <n v="845"/>
    <x v="0"/>
    <s v="Issue 826"/>
    <x v="1"/>
    <x v="0"/>
    <x v="0"/>
    <x v="9"/>
    <x v="5"/>
    <s v="Client 826"/>
    <x v="136"/>
    <m/>
    <x v="145"/>
  </r>
  <r>
    <s v="CS-846"/>
    <n v="846"/>
    <x v="0"/>
    <s v="Issue 827"/>
    <x v="1"/>
    <x v="0"/>
    <x v="0"/>
    <x v="7"/>
    <x v="6"/>
    <s v="Client 827"/>
    <x v="136"/>
    <m/>
    <x v="65"/>
  </r>
  <r>
    <s v="CS-847"/>
    <n v="847"/>
    <x v="0"/>
    <s v="Issue 828"/>
    <x v="1"/>
    <x v="0"/>
    <x v="0"/>
    <x v="7"/>
    <x v="6"/>
    <s v="Client 828"/>
    <x v="136"/>
    <m/>
    <x v="65"/>
  </r>
  <r>
    <s v="CS-848"/>
    <n v="848"/>
    <x v="0"/>
    <s v="Issue 829"/>
    <x v="1"/>
    <x v="0"/>
    <x v="0"/>
    <x v="7"/>
    <x v="6"/>
    <s v="Client 829"/>
    <x v="136"/>
    <m/>
    <x v="65"/>
  </r>
  <r>
    <s v="CS-849"/>
    <n v="849"/>
    <x v="0"/>
    <s v="Issue 830"/>
    <x v="1"/>
    <x v="0"/>
    <x v="0"/>
    <x v="9"/>
    <x v="4"/>
    <s v="Client 830"/>
    <x v="137"/>
    <m/>
    <x v="56"/>
  </r>
  <r>
    <s v="CS-850"/>
    <n v="850"/>
    <x v="0"/>
    <s v="Issue 831"/>
    <x v="1"/>
    <x v="0"/>
    <x v="0"/>
    <x v="7"/>
    <x v="6"/>
    <s v="Client 831"/>
    <x v="137"/>
    <m/>
    <x v="65"/>
  </r>
  <r>
    <s v="CS-851"/>
    <n v="851"/>
    <x v="0"/>
    <s v="Issue 832"/>
    <x v="1"/>
    <x v="0"/>
    <x v="0"/>
    <x v="7"/>
    <x v="6"/>
    <s v="Client 832"/>
    <x v="137"/>
    <m/>
    <x v="65"/>
  </r>
  <r>
    <s v="CS-852"/>
    <n v="852"/>
    <x v="0"/>
    <s v="Issue 833"/>
    <x v="1"/>
    <x v="0"/>
    <x v="0"/>
    <x v="9"/>
    <x v="5"/>
    <s v="Client 833"/>
    <x v="137"/>
    <m/>
    <x v="151"/>
  </r>
  <r>
    <s v="CS-853"/>
    <n v="853"/>
    <x v="0"/>
    <s v="Issue 834"/>
    <x v="1"/>
    <x v="0"/>
    <x v="0"/>
    <x v="7"/>
    <x v="6"/>
    <s v="Client 834"/>
    <x v="137"/>
    <m/>
    <x v="65"/>
  </r>
  <r>
    <s v="CS-854"/>
    <n v="854"/>
    <x v="0"/>
    <s v="Issue 835"/>
    <x v="2"/>
    <x v="0"/>
    <x v="0"/>
    <x v="9"/>
    <x v="1"/>
    <s v="Client 835"/>
    <x v="137"/>
    <m/>
    <x v="101"/>
  </r>
  <r>
    <s v="CS-855"/>
    <n v="855"/>
    <x v="0"/>
    <s v="Issue 836"/>
    <x v="1"/>
    <x v="0"/>
    <x v="0"/>
    <x v="7"/>
    <x v="6"/>
    <s v="Client 836"/>
    <x v="137"/>
    <m/>
    <x v="65"/>
  </r>
  <r>
    <s v="CS-856"/>
    <n v="856"/>
    <x v="0"/>
    <s v="Issue 837"/>
    <x v="1"/>
    <x v="0"/>
    <x v="0"/>
    <x v="7"/>
    <x v="6"/>
    <s v="Client 837"/>
    <x v="137"/>
    <m/>
    <x v="65"/>
  </r>
  <r>
    <s v="CS-857"/>
    <n v="857"/>
    <x v="0"/>
    <s v="Issue 838"/>
    <x v="1"/>
    <x v="0"/>
    <x v="0"/>
    <x v="7"/>
    <x v="5"/>
    <s v="Client 838"/>
    <x v="137"/>
    <m/>
    <x v="56"/>
  </r>
  <r>
    <s v="CS-858"/>
    <n v="858"/>
    <x v="0"/>
    <s v="Issue 839"/>
    <x v="1"/>
    <x v="0"/>
    <x v="0"/>
    <x v="7"/>
    <x v="2"/>
    <s v="Client 839"/>
    <x v="137"/>
    <m/>
    <x v="152"/>
  </r>
  <r>
    <s v="CS-859"/>
    <n v="859"/>
    <x v="0"/>
    <s v="Issue 840"/>
    <x v="1"/>
    <x v="1"/>
    <x v="0"/>
    <x v="9"/>
    <x v="3"/>
    <s v="Client 840"/>
    <x v="137"/>
    <m/>
    <x v="1"/>
  </r>
  <r>
    <s v="CS-860"/>
    <n v="860"/>
    <x v="0"/>
    <s v="Issue 841"/>
    <x v="1"/>
    <x v="0"/>
    <x v="0"/>
    <x v="7"/>
    <x v="6"/>
    <s v="Client 841"/>
    <x v="137"/>
    <m/>
    <x v="65"/>
  </r>
  <r>
    <s v="CS-861"/>
    <n v="861"/>
    <x v="0"/>
    <s v="Issue 842"/>
    <x v="1"/>
    <x v="0"/>
    <x v="0"/>
    <x v="9"/>
    <x v="1"/>
    <s v="Client 842"/>
    <x v="138"/>
    <m/>
    <x v="56"/>
  </r>
  <r>
    <s v="CS-862"/>
    <n v="862"/>
    <x v="0"/>
    <s v="Issue 843"/>
    <x v="1"/>
    <x v="0"/>
    <x v="0"/>
    <x v="9"/>
    <x v="1"/>
    <s v="Client 843"/>
    <x v="138"/>
    <m/>
    <x v="56"/>
  </r>
  <r>
    <s v="CS-863"/>
    <n v="863"/>
    <x v="0"/>
    <s v="Issue 844"/>
    <x v="1"/>
    <x v="0"/>
    <x v="0"/>
    <x v="7"/>
    <x v="4"/>
    <s v="Client 844"/>
    <x v="138"/>
    <m/>
    <x v="106"/>
  </r>
  <r>
    <s v="CS-864"/>
    <n v="864"/>
    <x v="1"/>
    <s v="Issue 845"/>
    <x v="1"/>
    <x v="0"/>
    <x v="0"/>
    <x v="8"/>
    <x v="7"/>
    <s v="Client 845"/>
    <x v="139"/>
    <m/>
    <x v="153"/>
  </r>
  <r>
    <s v="CS-865"/>
    <n v="865"/>
    <x v="1"/>
    <s v="Issue 846"/>
    <x v="1"/>
    <x v="0"/>
    <x v="0"/>
    <x v="8"/>
    <x v="5"/>
    <s v="Client 846"/>
    <x v="139"/>
    <m/>
    <x v="65"/>
  </r>
  <r>
    <s v="CS-866"/>
    <n v="866"/>
    <x v="1"/>
    <s v="Issue 847"/>
    <x v="1"/>
    <x v="0"/>
    <x v="0"/>
    <x v="8"/>
    <x v="7"/>
    <s v="Client 847"/>
    <x v="139"/>
    <m/>
    <x v="76"/>
  </r>
  <r>
    <s v="CS-867"/>
    <n v="867"/>
    <x v="1"/>
    <s v="Issue 848"/>
    <x v="1"/>
    <x v="0"/>
    <x v="0"/>
    <x v="8"/>
    <x v="0"/>
    <s v="Client 848"/>
    <x v="139"/>
    <m/>
    <x v="76"/>
  </r>
  <r>
    <s v="CS-868"/>
    <n v="868"/>
    <x v="1"/>
    <s v="Issue 849"/>
    <x v="1"/>
    <x v="0"/>
    <x v="0"/>
    <x v="8"/>
    <x v="0"/>
    <s v="Client 849"/>
    <x v="139"/>
    <m/>
    <x v="76"/>
  </r>
  <r>
    <s v="CS-869"/>
    <n v="869"/>
    <x v="0"/>
    <s v="Issue 850"/>
    <x v="2"/>
    <x v="0"/>
    <x v="0"/>
    <x v="9"/>
    <x v="5"/>
    <s v="Client 850"/>
    <x v="140"/>
    <m/>
    <x v="65"/>
  </r>
  <r>
    <s v="CS-870"/>
    <n v="870"/>
    <x v="0"/>
    <s v="Issue 851"/>
    <x v="2"/>
    <x v="0"/>
    <x v="0"/>
    <x v="9"/>
    <x v="3"/>
    <s v="Client 851"/>
    <x v="140"/>
    <m/>
    <x v="103"/>
  </r>
  <r>
    <s v="CS-871"/>
    <n v="871"/>
    <x v="0"/>
    <s v="Issue 852"/>
    <x v="1"/>
    <x v="0"/>
    <x v="0"/>
    <x v="9"/>
    <x v="4"/>
    <s v="Client 852"/>
    <x v="140"/>
    <m/>
    <x v="56"/>
  </r>
  <r>
    <s v="CS-872"/>
    <n v="872"/>
    <x v="0"/>
    <s v="Issue 853"/>
    <x v="1"/>
    <x v="0"/>
    <x v="0"/>
    <x v="7"/>
    <x v="4"/>
    <s v="Client 853"/>
    <x v="140"/>
    <m/>
    <x v="79"/>
  </r>
  <r>
    <s v="CS-873"/>
    <n v="873"/>
    <x v="0"/>
    <s v="Issue 854"/>
    <x v="1"/>
    <x v="0"/>
    <x v="0"/>
    <x v="7"/>
    <x v="2"/>
    <s v="Client 854"/>
    <x v="140"/>
    <m/>
    <x v="79"/>
  </r>
  <r>
    <s v="CS-874"/>
    <n v="874"/>
    <x v="0"/>
    <s v="Issue 855"/>
    <x v="1"/>
    <x v="0"/>
    <x v="0"/>
    <x v="7"/>
    <x v="4"/>
    <s v="Client 855"/>
    <x v="141"/>
    <m/>
    <x v="124"/>
  </r>
  <r>
    <s v="CS-875"/>
    <n v="875"/>
    <x v="0"/>
    <s v="Issue 856"/>
    <x v="1"/>
    <x v="1"/>
    <x v="0"/>
    <x v="9"/>
    <x v="3"/>
    <s v="Client 856"/>
    <x v="142"/>
    <m/>
    <x v="1"/>
  </r>
  <r>
    <s v="CS-876"/>
    <n v="876"/>
    <x v="0"/>
    <s v="Issue 857"/>
    <x v="1"/>
    <x v="0"/>
    <x v="0"/>
    <x v="9"/>
    <x v="1"/>
    <s v="Client 857"/>
    <x v="142"/>
    <m/>
    <x v="56"/>
  </r>
  <r>
    <s v="CS-877"/>
    <n v="877"/>
    <x v="0"/>
    <s v="Issue 858"/>
    <x v="2"/>
    <x v="0"/>
    <x v="0"/>
    <x v="9"/>
    <x v="1"/>
    <s v="Client 858"/>
    <x v="142"/>
    <m/>
    <x v="1"/>
  </r>
  <r>
    <s v="CS-878"/>
    <n v="878"/>
    <x v="0"/>
    <s v="Issue 859"/>
    <x v="2"/>
    <x v="0"/>
    <x v="0"/>
    <x v="9"/>
    <x v="7"/>
    <s v="Client 859"/>
    <x v="142"/>
    <m/>
    <x v="65"/>
  </r>
  <r>
    <s v="CS-879"/>
    <n v="879"/>
    <x v="0"/>
    <s v="Issue 860"/>
    <x v="1"/>
    <x v="0"/>
    <x v="0"/>
    <x v="9"/>
    <x v="5"/>
    <s v="Client 860"/>
    <x v="142"/>
    <m/>
    <x v="107"/>
  </r>
  <r>
    <s v="CS-880"/>
    <n v="880"/>
    <x v="0"/>
    <s v="Issue 861"/>
    <x v="1"/>
    <x v="0"/>
    <x v="0"/>
    <x v="9"/>
    <x v="1"/>
    <s v="Client 861"/>
    <x v="142"/>
    <m/>
    <x v="64"/>
  </r>
  <r>
    <s v="CS-881"/>
    <n v="881"/>
    <x v="0"/>
    <s v="Issue 862"/>
    <x v="2"/>
    <x v="0"/>
    <x v="0"/>
    <x v="9"/>
    <x v="1"/>
    <s v="Client 862"/>
    <x v="142"/>
    <m/>
    <x v="142"/>
  </r>
  <r>
    <s v="CS-882"/>
    <n v="882"/>
    <x v="0"/>
    <s v="Issue 863"/>
    <x v="1"/>
    <x v="0"/>
    <x v="0"/>
    <x v="7"/>
    <x v="5"/>
    <s v="Client 863"/>
    <x v="142"/>
    <m/>
    <x v="154"/>
  </r>
  <r>
    <s v="CS-883"/>
    <n v="883"/>
    <x v="1"/>
    <s v="Issue 864"/>
    <x v="2"/>
    <x v="0"/>
    <x v="0"/>
    <x v="8"/>
    <x v="1"/>
    <s v="Client 864"/>
    <x v="142"/>
    <m/>
    <x v="155"/>
  </r>
  <r>
    <s v="CS-884"/>
    <n v="884"/>
    <x v="1"/>
    <s v="Issue 865"/>
    <x v="1"/>
    <x v="0"/>
    <x v="0"/>
    <x v="8"/>
    <x v="0"/>
    <s v="Client 865"/>
    <x v="142"/>
    <m/>
    <x v="56"/>
  </r>
  <r>
    <s v="CS-885"/>
    <n v="885"/>
    <x v="0"/>
    <s v="Issue 866"/>
    <x v="3"/>
    <x v="0"/>
    <x v="0"/>
    <x v="0"/>
    <x v="5"/>
    <s v="Client 866"/>
    <x v="143"/>
    <m/>
    <x v="124"/>
  </r>
  <r>
    <s v="CS-886"/>
    <n v="886"/>
    <x v="0"/>
    <s v="Issue 867"/>
    <x v="1"/>
    <x v="0"/>
    <x v="0"/>
    <x v="7"/>
    <x v="2"/>
    <s v="Client 867"/>
    <x v="143"/>
    <m/>
    <x v="1"/>
  </r>
  <r>
    <s v="CS-887"/>
    <n v="887"/>
    <x v="0"/>
    <s v="Issue 868"/>
    <x v="1"/>
    <x v="0"/>
    <x v="0"/>
    <x v="9"/>
    <x v="1"/>
    <s v="Client 868"/>
    <x v="143"/>
    <m/>
    <x v="64"/>
  </r>
  <r>
    <s v="CS-888"/>
    <n v="888"/>
    <x v="0"/>
    <s v="Issue 869"/>
    <x v="3"/>
    <x v="0"/>
    <x v="0"/>
    <x v="1"/>
    <x v="6"/>
    <s v="Client 869"/>
    <x v="144"/>
    <m/>
    <x v="101"/>
  </r>
  <r>
    <s v="CS-889"/>
    <n v="889"/>
    <x v="0"/>
    <s v="Issue 870"/>
    <x v="1"/>
    <x v="0"/>
    <x v="0"/>
    <x v="7"/>
    <x v="4"/>
    <s v="Client 870"/>
    <x v="144"/>
    <m/>
    <x v="100"/>
  </r>
  <r>
    <s v="CS-890"/>
    <n v="890"/>
    <x v="0"/>
    <s v="Issue 871"/>
    <x v="3"/>
    <x v="0"/>
    <x v="0"/>
    <x v="1"/>
    <x v="5"/>
    <s v="Client 871"/>
    <x v="144"/>
    <m/>
    <x v="116"/>
  </r>
  <r>
    <s v="CS-891"/>
    <n v="891"/>
    <x v="0"/>
    <s v="Issue 872"/>
    <x v="1"/>
    <x v="0"/>
    <x v="0"/>
    <x v="9"/>
    <x v="4"/>
    <s v="Client 872"/>
    <x v="144"/>
    <m/>
    <x v="56"/>
  </r>
  <r>
    <s v="CS-892"/>
    <n v="892"/>
    <x v="0"/>
    <s v="Issue 873"/>
    <x v="2"/>
    <x v="1"/>
    <x v="0"/>
    <x v="9"/>
    <x v="5"/>
    <s v="Client 873"/>
    <x v="145"/>
    <m/>
    <x v="1"/>
  </r>
  <r>
    <s v="CS-893"/>
    <n v="893"/>
    <x v="0"/>
    <s v="Issue 874"/>
    <x v="1"/>
    <x v="0"/>
    <x v="0"/>
    <x v="9"/>
    <x v="3"/>
    <s v="Client 874"/>
    <x v="145"/>
    <m/>
    <x v="64"/>
  </r>
  <r>
    <s v="CS-894"/>
    <n v="894"/>
    <x v="0"/>
    <s v="Issue 875"/>
    <x v="1"/>
    <x v="0"/>
    <x v="0"/>
    <x v="9"/>
    <x v="4"/>
    <s v="Client 875"/>
    <x v="145"/>
    <m/>
    <x v="64"/>
  </r>
  <r>
    <s v="CS-895"/>
    <n v="895"/>
    <x v="0"/>
    <s v="Issue 876"/>
    <x v="2"/>
    <x v="0"/>
    <x v="0"/>
    <x v="7"/>
    <x v="6"/>
    <s v="Client 876"/>
    <x v="145"/>
    <m/>
    <x v="80"/>
  </r>
  <r>
    <s v="CS-896"/>
    <n v="896"/>
    <x v="1"/>
    <s v="Issue 877"/>
    <x v="2"/>
    <x v="0"/>
    <x v="0"/>
    <x v="8"/>
    <x v="7"/>
    <s v="Client 877"/>
    <x v="146"/>
    <m/>
    <x v="123"/>
  </r>
  <r>
    <s v="CS-897"/>
    <n v="897"/>
    <x v="0"/>
    <s v="Issue 878"/>
    <x v="1"/>
    <x v="0"/>
    <x v="0"/>
    <x v="9"/>
    <x v="4"/>
    <s v="Client 878"/>
    <x v="147"/>
    <m/>
    <x v="130"/>
  </r>
  <r>
    <s v="CS-898"/>
    <n v="898"/>
    <x v="0"/>
    <s v="Issue 879"/>
    <x v="3"/>
    <x v="0"/>
    <x v="0"/>
    <x v="2"/>
    <x v="4"/>
    <s v="Client 879"/>
    <x v="147"/>
    <m/>
    <x v="1"/>
  </r>
  <r>
    <s v="CS-899"/>
    <n v="899"/>
    <x v="0"/>
    <s v="Issue 880"/>
    <x v="1"/>
    <x v="0"/>
    <x v="0"/>
    <x v="2"/>
    <x v="1"/>
    <s v="Client 880"/>
    <x v="147"/>
    <m/>
    <x v="1"/>
  </r>
  <r>
    <s v="CS-900"/>
    <n v="900"/>
    <x v="0"/>
    <s v="Issue 881"/>
    <x v="1"/>
    <x v="0"/>
    <x v="0"/>
    <x v="9"/>
    <x v="3"/>
    <s v="Client 881"/>
    <x v="147"/>
    <m/>
    <x v="107"/>
  </r>
  <r>
    <s v="CS-901"/>
    <n v="901"/>
    <x v="1"/>
    <s v="Issue 882"/>
    <x v="2"/>
    <x v="0"/>
    <x v="0"/>
    <x v="7"/>
    <x v="5"/>
    <s v="Client 882"/>
    <x v="147"/>
    <m/>
    <x v="103"/>
  </r>
  <r>
    <s v="CS-902"/>
    <n v="902"/>
    <x v="1"/>
    <s v="Issue 883"/>
    <x v="2"/>
    <x v="0"/>
    <x v="0"/>
    <x v="8"/>
    <x v="0"/>
    <s v="Client 883"/>
    <x v="147"/>
    <m/>
    <x v="107"/>
  </r>
  <r>
    <s v="CS-903"/>
    <n v="903"/>
    <x v="0"/>
    <s v="Issue 884"/>
    <x v="1"/>
    <x v="0"/>
    <x v="0"/>
    <x v="9"/>
    <x v="4"/>
    <s v="Client 884"/>
    <x v="148"/>
    <m/>
    <x v="150"/>
  </r>
  <r>
    <s v="CS-904"/>
    <n v="904"/>
    <x v="0"/>
    <s v="Issue 885"/>
    <x v="1"/>
    <x v="0"/>
    <x v="0"/>
    <x v="9"/>
    <x v="3"/>
    <s v="Client 885"/>
    <x v="148"/>
    <m/>
    <x v="145"/>
  </r>
  <r>
    <s v="CS-905"/>
    <n v="905"/>
    <x v="0"/>
    <s v="Issue 886"/>
    <x v="2"/>
    <x v="0"/>
    <x v="0"/>
    <x v="9"/>
    <x v="6"/>
    <s v="Client 886"/>
    <x v="148"/>
    <m/>
    <x v="156"/>
  </r>
  <r>
    <s v="CS-906"/>
    <n v="906"/>
    <x v="0"/>
    <s v="Issue 887"/>
    <x v="2"/>
    <x v="0"/>
    <x v="0"/>
    <x v="9"/>
    <x v="1"/>
    <s v="Client 887"/>
    <x v="149"/>
    <m/>
    <x v="157"/>
  </r>
  <r>
    <s v="CS-907"/>
    <n v="907"/>
    <x v="0"/>
    <s v="Issue 888"/>
    <x v="1"/>
    <x v="0"/>
    <x v="0"/>
    <x v="9"/>
    <x v="3"/>
    <s v="Client 888"/>
    <x v="149"/>
    <m/>
    <x v="144"/>
  </r>
  <r>
    <s v="CS-908"/>
    <n v="908"/>
    <x v="0"/>
    <s v="Issue 889"/>
    <x v="2"/>
    <x v="0"/>
    <x v="0"/>
    <x v="7"/>
    <x v="2"/>
    <s v="Client 889"/>
    <x v="149"/>
    <m/>
    <x v="130"/>
  </r>
  <r>
    <s v="CS-909"/>
    <n v="909"/>
    <x v="0"/>
    <s v="Issue 890"/>
    <x v="2"/>
    <x v="0"/>
    <x v="0"/>
    <x v="9"/>
    <x v="1"/>
    <s v="Client 890"/>
    <x v="149"/>
    <m/>
    <x v="80"/>
  </r>
  <r>
    <s v="CS-910"/>
    <n v="910"/>
    <x v="0"/>
    <s v="Issue 891"/>
    <x v="1"/>
    <x v="0"/>
    <x v="0"/>
    <x v="9"/>
    <x v="7"/>
    <s v="Client 891"/>
    <x v="150"/>
    <m/>
    <x v="156"/>
  </r>
  <r>
    <s v="CS-911"/>
    <n v="911"/>
    <x v="0"/>
    <s v="Issue 892"/>
    <x v="2"/>
    <x v="0"/>
    <x v="0"/>
    <x v="9"/>
    <x v="4"/>
    <s v="Client 892"/>
    <x v="150"/>
    <m/>
    <x v="144"/>
  </r>
  <r>
    <s v="CS-912"/>
    <n v="912"/>
    <x v="0"/>
    <s v="Issue 893"/>
    <x v="1"/>
    <x v="0"/>
    <x v="0"/>
    <x v="9"/>
    <x v="1"/>
    <s v="Client 893"/>
    <x v="150"/>
    <m/>
    <x v="80"/>
  </r>
  <r>
    <s v="CS-913"/>
    <n v="913"/>
    <x v="0"/>
    <s v="Issue 894"/>
    <x v="1"/>
    <x v="0"/>
    <x v="0"/>
    <x v="7"/>
    <x v="7"/>
    <s v="Client 894"/>
    <x v="150"/>
    <m/>
    <x v="145"/>
  </r>
  <r>
    <s v="CS-914"/>
    <n v="914"/>
    <x v="1"/>
    <s v="Issue 895"/>
    <x v="1"/>
    <x v="0"/>
    <x v="0"/>
    <x v="8"/>
    <x v="4"/>
    <s v="Client 895"/>
    <x v="150"/>
    <m/>
    <x v="156"/>
  </r>
  <r>
    <s v="CS-915"/>
    <n v="915"/>
    <x v="0"/>
    <s v="Issue 896"/>
    <x v="2"/>
    <x v="0"/>
    <x v="0"/>
    <x v="9"/>
    <x v="4"/>
    <s v="Client 896"/>
    <x v="151"/>
    <m/>
    <x v="101"/>
  </r>
  <r>
    <s v="CS-916"/>
    <n v="916"/>
    <x v="0"/>
    <s v="Issue 897"/>
    <x v="3"/>
    <x v="0"/>
    <x v="0"/>
    <x v="9"/>
    <x v="4"/>
    <s v="Client 897"/>
    <x v="151"/>
    <m/>
    <x v="158"/>
  </r>
  <r>
    <s v="CS-917"/>
    <n v="917"/>
    <x v="0"/>
    <s v="Issue 898"/>
    <x v="2"/>
    <x v="0"/>
    <x v="0"/>
    <x v="9"/>
    <x v="0"/>
    <s v="Client 898"/>
    <x v="151"/>
    <m/>
    <x v="156"/>
  </r>
  <r>
    <s v="CS-918"/>
    <n v="918"/>
    <x v="0"/>
    <s v="Issue 899"/>
    <x v="1"/>
    <x v="1"/>
    <x v="0"/>
    <x v="9"/>
    <x v="3"/>
    <s v="Client 899"/>
    <x v="151"/>
    <m/>
    <x v="1"/>
  </r>
  <r>
    <s v="CS-919"/>
    <n v="919"/>
    <x v="1"/>
    <s v="Issue 900"/>
    <x v="3"/>
    <x v="0"/>
    <x v="0"/>
    <x v="8"/>
    <x v="7"/>
    <s v="Client 900"/>
    <x v="151"/>
    <m/>
    <x v="80"/>
  </r>
  <r>
    <s v="CS-920"/>
    <n v="920"/>
    <x v="0"/>
    <s v="Issue 901"/>
    <x v="1"/>
    <x v="0"/>
    <x v="0"/>
    <x v="1"/>
    <x v="4"/>
    <s v="Client 901"/>
    <x v="151"/>
    <m/>
    <x v="159"/>
  </r>
  <r>
    <s v="CS-921"/>
    <n v="921"/>
    <x v="0"/>
    <s v="Issue 902"/>
    <x v="1"/>
    <x v="0"/>
    <x v="0"/>
    <x v="9"/>
    <x v="3"/>
    <s v="Client 902"/>
    <x v="151"/>
    <m/>
    <x v="156"/>
  </r>
  <r>
    <s v="CS-922"/>
    <n v="922"/>
    <x v="0"/>
    <s v="Issue 903"/>
    <x v="2"/>
    <x v="0"/>
    <x v="0"/>
    <x v="9"/>
    <x v="3"/>
    <s v="Client 903"/>
    <x v="152"/>
    <m/>
    <x v="160"/>
  </r>
  <r>
    <s v="CS-923"/>
    <n v="923"/>
    <x v="0"/>
    <s v="Issue 904"/>
    <x v="2"/>
    <x v="1"/>
    <x v="0"/>
    <x v="9"/>
    <x v="3"/>
    <s v="Client 904"/>
    <x v="152"/>
    <m/>
    <x v="1"/>
  </r>
  <r>
    <s v="CS-924"/>
    <n v="924"/>
    <x v="0"/>
    <s v="Issue 905"/>
    <x v="2"/>
    <x v="0"/>
    <x v="0"/>
    <x v="9"/>
    <x v="7"/>
    <s v="Client 905"/>
    <x v="152"/>
    <m/>
    <x v="101"/>
  </r>
  <r>
    <s v="CS-925"/>
    <n v="925"/>
    <x v="0"/>
    <s v="Issue 906"/>
    <x v="3"/>
    <x v="0"/>
    <x v="0"/>
    <x v="7"/>
    <x v="5"/>
    <s v="Client 906"/>
    <x v="152"/>
    <m/>
    <x v="153"/>
  </r>
  <r>
    <s v="CS-926"/>
    <n v="926"/>
    <x v="0"/>
    <s v="Issue 907"/>
    <x v="1"/>
    <x v="0"/>
    <x v="0"/>
    <x v="7"/>
    <x v="6"/>
    <s v="Client 907"/>
    <x v="153"/>
    <m/>
    <x v="80"/>
  </r>
  <r>
    <s v="CS-927"/>
    <n v="927"/>
    <x v="0"/>
    <s v="Issue 908"/>
    <x v="1"/>
    <x v="0"/>
    <x v="0"/>
    <x v="7"/>
    <x v="6"/>
    <s v="Client 908"/>
    <x v="153"/>
    <m/>
    <x v="142"/>
  </r>
  <r>
    <s v="CS-928"/>
    <n v="928"/>
    <x v="0"/>
    <s v="Issue 909"/>
    <x v="2"/>
    <x v="0"/>
    <x v="0"/>
    <x v="9"/>
    <x v="7"/>
    <s v="Client 909"/>
    <x v="153"/>
    <m/>
    <x v="103"/>
  </r>
  <r>
    <s v="CS-929"/>
    <n v="929"/>
    <x v="0"/>
    <s v="Issue 910"/>
    <x v="2"/>
    <x v="0"/>
    <x v="0"/>
    <x v="7"/>
    <x v="0"/>
    <s v="Client 910"/>
    <x v="153"/>
    <m/>
    <x v="116"/>
  </r>
  <r>
    <s v="CS-930"/>
    <n v="930"/>
    <x v="0"/>
    <s v="Issue 911"/>
    <x v="1"/>
    <x v="0"/>
    <x v="0"/>
    <x v="7"/>
    <x v="6"/>
    <s v="Client 911"/>
    <x v="153"/>
    <m/>
    <x v="144"/>
  </r>
  <r>
    <s v="CS-931"/>
    <n v="931"/>
    <x v="0"/>
    <s v="Issue 912"/>
    <x v="1"/>
    <x v="0"/>
    <x v="0"/>
    <x v="7"/>
    <x v="5"/>
    <s v="Client 912"/>
    <x v="153"/>
    <m/>
    <x v="129"/>
  </r>
  <r>
    <s v="CS-932"/>
    <n v="932"/>
    <x v="0"/>
    <s v="Issue 913"/>
    <x v="2"/>
    <x v="0"/>
    <x v="0"/>
    <x v="7"/>
    <x v="6"/>
    <s v="Client 913"/>
    <x v="153"/>
    <m/>
    <x v="144"/>
  </r>
  <r>
    <s v="CS-933"/>
    <n v="933"/>
    <x v="0"/>
    <s v="Issue 914"/>
    <x v="2"/>
    <x v="0"/>
    <x v="0"/>
    <x v="7"/>
    <x v="6"/>
    <s v="Client 914"/>
    <x v="153"/>
    <m/>
    <x v="144"/>
  </r>
  <r>
    <s v="CS-934"/>
    <n v="934"/>
    <x v="0"/>
    <s v="Issue 915"/>
    <x v="3"/>
    <x v="0"/>
    <x v="0"/>
    <x v="9"/>
    <x v="5"/>
    <s v="Client 915"/>
    <x v="154"/>
    <m/>
    <x v="159"/>
  </r>
  <r>
    <s v="CS-935"/>
    <n v="935"/>
    <x v="0"/>
    <s v="Issue 916"/>
    <x v="3"/>
    <x v="0"/>
    <x v="0"/>
    <x v="9"/>
    <x v="1"/>
    <s v="Client 916"/>
    <x v="154"/>
    <m/>
    <x v="124"/>
  </r>
  <r>
    <s v="CS-936"/>
    <n v="936"/>
    <x v="0"/>
    <s v="Issue 917"/>
    <x v="1"/>
    <x v="0"/>
    <x v="0"/>
    <x v="9"/>
    <x v="5"/>
    <s v="Client 917"/>
    <x v="154"/>
    <m/>
    <x v="101"/>
  </r>
  <r>
    <s v="CS-937"/>
    <n v="937"/>
    <x v="0"/>
    <s v="Issue 918"/>
    <x v="2"/>
    <x v="0"/>
    <x v="0"/>
    <x v="9"/>
    <x v="3"/>
    <s v="Client 918"/>
    <x v="154"/>
    <m/>
    <x v="142"/>
  </r>
  <r>
    <s v="CS-938"/>
    <n v="938"/>
    <x v="1"/>
    <s v="Issue 919"/>
    <x v="3"/>
    <x v="0"/>
    <x v="0"/>
    <x v="1"/>
    <x v="7"/>
    <s v="Client 919"/>
    <x v="154"/>
    <m/>
    <x v="128"/>
  </r>
  <r>
    <s v="CS-939"/>
    <n v="939"/>
    <x v="0"/>
    <s v="Issue 920"/>
    <x v="1"/>
    <x v="0"/>
    <x v="0"/>
    <x v="9"/>
    <x v="6"/>
    <s v="Client 920"/>
    <x v="154"/>
    <m/>
    <x v="103"/>
  </r>
  <r>
    <s v="CS-940"/>
    <n v="940"/>
    <x v="0"/>
    <s v="Issue 921"/>
    <x v="1"/>
    <x v="0"/>
    <x v="0"/>
    <x v="9"/>
    <x v="4"/>
    <s v="Client 921"/>
    <x v="154"/>
    <m/>
    <x v="129"/>
  </r>
  <r>
    <s v="CS-941"/>
    <n v="941"/>
    <x v="0"/>
    <s v="Issue 922"/>
    <x v="1"/>
    <x v="0"/>
    <x v="0"/>
    <x v="9"/>
    <x v="5"/>
    <s v="Client 922"/>
    <x v="154"/>
    <m/>
    <x v="161"/>
  </r>
  <r>
    <s v="CS-942"/>
    <n v="942"/>
    <x v="0"/>
    <s v="Issue 923"/>
    <x v="1"/>
    <x v="0"/>
    <x v="0"/>
    <x v="9"/>
    <x v="6"/>
    <s v="Client 923"/>
    <x v="154"/>
    <m/>
    <x v="150"/>
  </r>
  <r>
    <s v="CS-943"/>
    <n v="943"/>
    <x v="0"/>
    <s v="Issue 924"/>
    <x v="2"/>
    <x v="1"/>
    <x v="0"/>
    <x v="9"/>
    <x v="3"/>
    <s v="Client 924"/>
    <x v="154"/>
    <m/>
    <x v="1"/>
  </r>
  <r>
    <s v="CS-944"/>
    <n v="944"/>
    <x v="0"/>
    <s v="Issue 925"/>
    <x v="2"/>
    <x v="0"/>
    <x v="0"/>
    <x v="7"/>
    <x v="2"/>
    <s v="Client 925"/>
    <x v="154"/>
    <m/>
    <x v="101"/>
  </r>
  <r>
    <s v="CS-945"/>
    <n v="945"/>
    <x v="0"/>
    <s v="Issue 926"/>
    <x v="2"/>
    <x v="0"/>
    <x v="0"/>
    <x v="9"/>
    <x v="1"/>
    <s v="Client 926"/>
    <x v="155"/>
    <m/>
    <x v="80"/>
  </r>
  <r>
    <s v="CS-946"/>
    <n v="946"/>
    <x v="0"/>
    <s v="Issue 927"/>
    <x v="1"/>
    <x v="0"/>
    <x v="0"/>
    <x v="7"/>
    <x v="6"/>
    <s v="Client 927"/>
    <x v="155"/>
    <m/>
    <x v="103"/>
  </r>
  <r>
    <s v="CS-947"/>
    <n v="947"/>
    <x v="0"/>
    <s v="Issue 928"/>
    <x v="2"/>
    <x v="0"/>
    <x v="0"/>
    <x v="9"/>
    <x v="1"/>
    <s v="Client 928"/>
    <x v="155"/>
    <m/>
    <x v="128"/>
  </r>
  <r>
    <s v="CS-948"/>
    <n v="948"/>
    <x v="0"/>
    <s v="Issue 929"/>
    <x v="2"/>
    <x v="0"/>
    <x v="0"/>
    <x v="9"/>
    <x v="1"/>
    <s v="Client 929"/>
    <x v="155"/>
    <m/>
    <x v="80"/>
  </r>
  <r>
    <s v="CS-949"/>
    <n v="949"/>
    <x v="0"/>
    <s v="Issue 930"/>
    <x v="3"/>
    <x v="0"/>
    <x v="0"/>
    <x v="9"/>
    <x v="3"/>
    <s v="Client 930"/>
    <x v="155"/>
    <m/>
    <x v="134"/>
  </r>
  <r>
    <s v="CS-950"/>
    <n v="950"/>
    <x v="0"/>
    <s v="Issue 931"/>
    <x v="2"/>
    <x v="1"/>
    <x v="0"/>
    <x v="9"/>
    <x v="3"/>
    <s v="Client 931"/>
    <x v="155"/>
    <m/>
    <x v="1"/>
  </r>
  <r>
    <s v="CS-951"/>
    <n v="951"/>
    <x v="0"/>
    <s v="Issue 932"/>
    <x v="2"/>
    <x v="0"/>
    <x v="0"/>
    <x v="9"/>
    <x v="1"/>
    <s v="Client 932"/>
    <x v="156"/>
    <m/>
    <x v="80"/>
  </r>
  <r>
    <s v="CS-952"/>
    <n v="952"/>
    <x v="0"/>
    <s v="Issue 933"/>
    <x v="2"/>
    <x v="0"/>
    <x v="0"/>
    <x v="9"/>
    <x v="1"/>
    <s v="Client 933"/>
    <x v="156"/>
    <m/>
    <x v="80"/>
  </r>
  <r>
    <s v="CS-953"/>
    <n v="953"/>
    <x v="0"/>
    <s v="Issue 934"/>
    <x v="1"/>
    <x v="0"/>
    <x v="0"/>
    <x v="9"/>
    <x v="3"/>
    <s v="Client 934"/>
    <x v="156"/>
    <m/>
    <x v="150"/>
  </r>
  <r>
    <s v="CS-954"/>
    <n v="954"/>
    <x v="0"/>
    <s v="Issue 935"/>
    <x v="2"/>
    <x v="0"/>
    <x v="0"/>
    <x v="9"/>
    <x v="1"/>
    <s v="Client 935"/>
    <x v="156"/>
    <m/>
    <x v="151"/>
  </r>
  <r>
    <s v="CS-955"/>
    <n v="955"/>
    <x v="0"/>
    <s v="Issue 936"/>
    <x v="2"/>
    <x v="0"/>
    <x v="0"/>
    <x v="9"/>
    <x v="4"/>
    <s v="Client 936"/>
    <x v="156"/>
    <m/>
    <x v="101"/>
  </r>
  <r>
    <s v="CS-956"/>
    <n v="956"/>
    <x v="0"/>
    <s v="Issue 937"/>
    <x v="2"/>
    <x v="0"/>
    <x v="0"/>
    <x v="9"/>
    <x v="1"/>
    <s v="Client 937"/>
    <x v="156"/>
    <m/>
    <x v="80"/>
  </r>
  <r>
    <s v="CS-957"/>
    <n v="957"/>
    <x v="1"/>
    <s v="Issue 938"/>
    <x v="2"/>
    <x v="0"/>
    <x v="0"/>
    <x v="8"/>
    <x v="2"/>
    <s v="Client 938"/>
    <x v="156"/>
    <m/>
    <x v="124"/>
  </r>
  <r>
    <s v="CS-958"/>
    <n v="958"/>
    <x v="1"/>
    <s v="Issue 939"/>
    <x v="3"/>
    <x v="0"/>
    <x v="0"/>
    <x v="8"/>
    <x v="1"/>
    <s v="Client 939"/>
    <x v="156"/>
    <m/>
    <x v="162"/>
  </r>
  <r>
    <s v="CS-959"/>
    <n v="959"/>
    <x v="0"/>
    <s v="Issue 940"/>
    <x v="2"/>
    <x v="0"/>
    <x v="0"/>
    <x v="9"/>
    <x v="4"/>
    <s v="Client 940"/>
    <x v="157"/>
    <m/>
    <x v="161"/>
  </r>
  <r>
    <s v="CS-960"/>
    <n v="960"/>
    <x v="0"/>
    <s v="Issue 941"/>
    <x v="2"/>
    <x v="0"/>
    <x v="0"/>
    <x v="9"/>
    <x v="1"/>
    <s v="Client 941"/>
    <x v="157"/>
    <m/>
    <x v="128"/>
  </r>
  <r>
    <s v="CS-961"/>
    <n v="961"/>
    <x v="1"/>
    <s v="Issue 942"/>
    <x v="2"/>
    <x v="0"/>
    <x v="0"/>
    <x v="1"/>
    <x v="7"/>
    <s v="Client 942"/>
    <x v="157"/>
    <m/>
    <x v="151"/>
  </r>
  <r>
    <s v="CS-962"/>
    <n v="962"/>
    <x v="0"/>
    <s v="Issue 943"/>
    <x v="2"/>
    <x v="0"/>
    <x v="0"/>
    <x v="7"/>
    <x v="4"/>
    <s v="Client 943"/>
    <x v="157"/>
    <m/>
    <x v="161"/>
  </r>
  <r>
    <s v="CS-963"/>
    <n v="963"/>
    <x v="0"/>
    <s v="Issue 944"/>
    <x v="2"/>
    <x v="0"/>
    <x v="0"/>
    <x v="9"/>
    <x v="4"/>
    <s v="Client 944"/>
    <x v="157"/>
    <m/>
    <x v="149"/>
  </r>
  <r>
    <s v="CS-964"/>
    <n v="964"/>
    <x v="0"/>
    <s v="Issue 945"/>
    <x v="2"/>
    <x v="0"/>
    <x v="0"/>
    <x v="9"/>
    <x v="1"/>
    <s v="Client 945"/>
    <x v="157"/>
    <m/>
    <x v="101"/>
  </r>
  <r>
    <s v="CS-965"/>
    <n v="965"/>
    <x v="0"/>
    <s v="Issue 946"/>
    <x v="2"/>
    <x v="1"/>
    <x v="0"/>
    <x v="9"/>
    <x v="4"/>
    <s v="Client 946"/>
    <x v="157"/>
    <m/>
    <x v="1"/>
  </r>
  <r>
    <s v="CS-966"/>
    <n v="966"/>
    <x v="0"/>
    <s v="Issue 947"/>
    <x v="2"/>
    <x v="0"/>
    <x v="0"/>
    <x v="7"/>
    <x v="6"/>
    <s v="Client 947"/>
    <x v="157"/>
    <m/>
    <x v="101"/>
  </r>
  <r>
    <s v="CS-967"/>
    <n v="967"/>
    <x v="0"/>
    <s v="Issue 948"/>
    <x v="2"/>
    <x v="0"/>
    <x v="0"/>
    <x v="9"/>
    <x v="3"/>
    <s v="Client 948"/>
    <x v="157"/>
    <m/>
    <x v="101"/>
  </r>
  <r>
    <s v="CS-968"/>
    <n v="968"/>
    <x v="0"/>
    <s v="Issue 949"/>
    <x v="2"/>
    <x v="0"/>
    <x v="0"/>
    <x v="9"/>
    <x v="3"/>
    <s v="Client 949"/>
    <x v="157"/>
    <m/>
    <x v="128"/>
  </r>
  <r>
    <s v="CS-969"/>
    <n v="969"/>
    <x v="1"/>
    <s v="Issue 950"/>
    <x v="2"/>
    <x v="1"/>
    <x v="0"/>
    <x v="1"/>
    <x v="2"/>
    <s v="Client 950"/>
    <x v="157"/>
    <m/>
    <x v="1"/>
  </r>
  <r>
    <s v="CS-970"/>
    <n v="970"/>
    <x v="1"/>
    <s v="Issue 951"/>
    <x v="2"/>
    <x v="0"/>
    <x v="0"/>
    <x v="7"/>
    <x v="5"/>
    <s v="Client 951"/>
    <x v="157"/>
    <m/>
    <x v="163"/>
  </r>
  <r>
    <s v="CS-971"/>
    <n v="971"/>
    <x v="1"/>
    <s v="Issue 952"/>
    <x v="2"/>
    <x v="0"/>
    <x v="0"/>
    <x v="8"/>
    <x v="7"/>
    <s v="Client 952"/>
    <x v="157"/>
    <m/>
    <x v="101"/>
  </r>
  <r>
    <s v="CS-972"/>
    <n v="972"/>
    <x v="1"/>
    <s v="Issue 953"/>
    <x v="2"/>
    <x v="0"/>
    <x v="0"/>
    <x v="1"/>
    <x v="5"/>
    <s v="Client 953"/>
    <x v="157"/>
    <m/>
    <x v="124"/>
  </r>
  <r>
    <s v="CS-973"/>
    <n v="973"/>
    <x v="0"/>
    <s v="Issue 954"/>
    <x v="3"/>
    <x v="0"/>
    <x v="0"/>
    <x v="9"/>
    <x v="3"/>
    <s v="Client 954"/>
    <x v="158"/>
    <m/>
    <x v="124"/>
  </r>
  <r>
    <s v="CS-974"/>
    <n v="974"/>
    <x v="0"/>
    <s v="Issue 955"/>
    <x v="2"/>
    <x v="0"/>
    <x v="0"/>
    <x v="9"/>
    <x v="3"/>
    <s v="Client 955"/>
    <x v="158"/>
    <m/>
    <x v="101"/>
  </r>
  <r>
    <s v="CS-975"/>
    <n v="975"/>
    <x v="1"/>
    <s v="Issue 956"/>
    <x v="2"/>
    <x v="0"/>
    <x v="0"/>
    <x v="1"/>
    <x v="5"/>
    <s v="Client 956"/>
    <x v="158"/>
    <m/>
    <x v="101"/>
  </r>
  <r>
    <s v="CS-976"/>
    <n v="976"/>
    <x v="1"/>
    <s v="Issue 957"/>
    <x v="3"/>
    <x v="0"/>
    <x v="0"/>
    <x v="1"/>
    <x v="0"/>
    <s v="Client 957"/>
    <x v="158"/>
    <m/>
    <x v="162"/>
  </r>
  <r>
    <s v="CS-977"/>
    <n v="977"/>
    <x v="0"/>
    <s v="Issue 958"/>
    <x v="2"/>
    <x v="0"/>
    <x v="0"/>
    <x v="9"/>
    <x v="3"/>
    <s v="Client 958"/>
    <x v="159"/>
    <m/>
    <x v="124"/>
  </r>
  <r>
    <s v="CS-978"/>
    <n v="978"/>
    <x v="0"/>
    <s v="Issue 959"/>
    <x v="2"/>
    <x v="0"/>
    <x v="0"/>
    <x v="9"/>
    <x v="3"/>
    <s v="Client 959"/>
    <x v="159"/>
    <m/>
    <x v="159"/>
  </r>
  <r>
    <s v="CS-979"/>
    <n v="979"/>
    <x v="0"/>
    <s v="Issue 960"/>
    <x v="2"/>
    <x v="0"/>
    <x v="0"/>
    <x v="9"/>
    <x v="3"/>
    <s v="Client 960"/>
    <x v="159"/>
    <m/>
    <x v="101"/>
  </r>
  <r>
    <s v="CS-980"/>
    <n v="980"/>
    <x v="0"/>
    <s v="Issue 961"/>
    <x v="1"/>
    <x v="0"/>
    <x v="0"/>
    <x v="9"/>
    <x v="0"/>
    <s v="Client 961"/>
    <x v="159"/>
    <m/>
    <x v="124"/>
  </r>
  <r>
    <s v="CS-981"/>
    <n v="981"/>
    <x v="0"/>
    <s v="Issue 962"/>
    <x v="1"/>
    <x v="0"/>
    <x v="0"/>
    <x v="7"/>
    <x v="2"/>
    <s v="Client 962"/>
    <x v="159"/>
    <m/>
    <x v="164"/>
  </r>
  <r>
    <s v="CS-982"/>
    <n v="982"/>
    <x v="0"/>
    <s v="Issue 963"/>
    <x v="1"/>
    <x v="0"/>
    <x v="0"/>
    <x v="7"/>
    <x v="1"/>
    <s v="Client 963"/>
    <x v="159"/>
    <m/>
    <x v="134"/>
  </r>
  <r>
    <s v="CS-983"/>
    <n v="983"/>
    <x v="0"/>
    <s v="Issue 964"/>
    <x v="3"/>
    <x v="0"/>
    <x v="0"/>
    <x v="1"/>
    <x v="5"/>
    <s v="Client 964"/>
    <x v="160"/>
    <m/>
    <x v="165"/>
  </r>
  <r>
    <s v="CS-984"/>
    <n v="984"/>
    <x v="0"/>
    <s v="Issue 965"/>
    <x v="2"/>
    <x v="0"/>
    <x v="0"/>
    <x v="9"/>
    <x v="4"/>
    <s v="Client 965"/>
    <x v="160"/>
    <m/>
    <x v="151"/>
  </r>
  <r>
    <s v="CS-985"/>
    <n v="985"/>
    <x v="0"/>
    <s v="Issue 966"/>
    <x v="2"/>
    <x v="0"/>
    <x v="0"/>
    <x v="9"/>
    <x v="3"/>
    <s v="Client 966"/>
    <x v="160"/>
    <m/>
    <x v="151"/>
  </r>
  <r>
    <s v="CS-986"/>
    <n v="986"/>
    <x v="0"/>
    <s v="Issue 967"/>
    <x v="2"/>
    <x v="0"/>
    <x v="0"/>
    <x v="0"/>
    <x v="5"/>
    <s v="Client 967"/>
    <x v="160"/>
    <m/>
    <x v="151"/>
  </r>
  <r>
    <s v="CS-987"/>
    <n v="987"/>
    <x v="1"/>
    <s v="Issue 968"/>
    <x v="1"/>
    <x v="0"/>
    <x v="0"/>
    <x v="7"/>
    <x v="2"/>
    <s v="Client 968"/>
    <x v="160"/>
    <m/>
    <x v="124"/>
  </r>
  <r>
    <s v="CS-988"/>
    <n v="988"/>
    <x v="1"/>
    <s v="Issue 969"/>
    <x v="2"/>
    <x v="1"/>
    <x v="0"/>
    <x v="8"/>
    <x v="5"/>
    <s v="Client 969"/>
    <x v="160"/>
    <m/>
    <x v="1"/>
  </r>
  <r>
    <s v="CS-989"/>
    <n v="989"/>
    <x v="1"/>
    <s v="Issue 970"/>
    <x v="3"/>
    <x v="0"/>
    <x v="0"/>
    <x v="7"/>
    <x v="7"/>
    <s v="Client 970"/>
    <x v="161"/>
    <m/>
    <x v="166"/>
  </r>
  <r>
    <s v="CS-990"/>
    <n v="990"/>
    <x v="0"/>
    <s v="Issue 971"/>
    <x v="3"/>
    <x v="0"/>
    <x v="0"/>
    <x v="7"/>
    <x v="5"/>
    <s v="Client 971"/>
    <x v="162"/>
    <m/>
    <x v="162"/>
  </r>
  <r>
    <s v="CS-991"/>
    <n v="991"/>
    <x v="0"/>
    <s v="Issue 972"/>
    <x v="2"/>
    <x v="0"/>
    <x v="0"/>
    <x v="9"/>
    <x v="1"/>
    <s v="Client 972"/>
    <x v="162"/>
    <m/>
    <x v="124"/>
  </r>
  <r>
    <s v="CS-992"/>
    <n v="992"/>
    <x v="0"/>
    <s v="Issue 973"/>
    <x v="2"/>
    <x v="0"/>
    <x v="0"/>
    <x v="1"/>
    <x v="1"/>
    <s v="Client 973"/>
    <x v="162"/>
    <m/>
    <x v="124"/>
  </r>
  <r>
    <s v="CS-993"/>
    <n v="993"/>
    <x v="1"/>
    <s v="Issue 974"/>
    <x v="3"/>
    <x v="2"/>
    <x v="0"/>
    <x v="1"/>
    <x v="4"/>
    <s v="Client 974"/>
    <x v="162"/>
    <m/>
    <x v="1"/>
  </r>
  <r>
    <s v="CS-994"/>
    <n v="994"/>
    <x v="1"/>
    <s v="Issue 975"/>
    <x v="1"/>
    <x v="0"/>
    <x v="0"/>
    <x v="7"/>
    <x v="5"/>
    <s v="Client 975"/>
    <x v="163"/>
    <m/>
    <x v="124"/>
  </r>
  <r>
    <s v="CS-995"/>
    <n v="995"/>
    <x v="1"/>
    <s v="Issue 976"/>
    <x v="2"/>
    <x v="0"/>
    <x v="0"/>
    <x v="1"/>
    <x v="5"/>
    <s v="Client 976"/>
    <x v="163"/>
    <m/>
    <x v="167"/>
  </r>
  <r>
    <s v="CS-996"/>
    <n v="996"/>
    <x v="0"/>
    <s v="Issue 977"/>
    <x v="1"/>
    <x v="0"/>
    <x v="0"/>
    <x v="7"/>
    <x v="3"/>
    <s v="Client 977"/>
    <x v="163"/>
    <m/>
    <x v="164"/>
  </r>
  <r>
    <s v="CS-997"/>
    <n v="997"/>
    <x v="0"/>
    <s v="Issue 978"/>
    <x v="2"/>
    <x v="0"/>
    <x v="0"/>
    <x v="7"/>
    <x v="3"/>
    <s v="Client 978"/>
    <x v="163"/>
    <m/>
    <x v="134"/>
  </r>
  <r>
    <s v="CS-998"/>
    <n v="998"/>
    <x v="0"/>
    <s v="Issue 979"/>
    <x v="2"/>
    <x v="0"/>
    <x v="0"/>
    <x v="7"/>
    <x v="3"/>
    <s v="Client 979"/>
    <x v="163"/>
    <m/>
    <x v="167"/>
  </r>
  <r>
    <s v="CS-999"/>
    <n v="999"/>
    <x v="0"/>
    <s v="Issue 980"/>
    <x v="2"/>
    <x v="0"/>
    <x v="0"/>
    <x v="9"/>
    <x v="3"/>
    <s v="Client 980"/>
    <x v="164"/>
    <m/>
    <x v="162"/>
  </r>
  <r>
    <s v="CS-1000"/>
    <n v="1000"/>
    <x v="1"/>
    <s v="Issue 981"/>
    <x v="2"/>
    <x v="0"/>
    <x v="0"/>
    <x v="8"/>
    <x v="3"/>
    <s v="Client 981"/>
    <x v="164"/>
    <m/>
    <x v="116"/>
  </r>
  <r>
    <s v="CS-1001"/>
    <n v="1001"/>
    <x v="0"/>
    <s v="Issue 982"/>
    <x v="1"/>
    <x v="0"/>
    <x v="0"/>
    <x v="7"/>
    <x v="6"/>
    <s v="Client 982"/>
    <x v="164"/>
    <m/>
    <x v="124"/>
  </r>
  <r>
    <s v="CS-1002"/>
    <n v="1002"/>
    <x v="0"/>
    <s v="Issue 983"/>
    <x v="1"/>
    <x v="0"/>
    <x v="0"/>
    <x v="7"/>
    <x v="4"/>
    <s v="Client 983"/>
    <x v="165"/>
    <m/>
    <x v="116"/>
  </r>
  <r>
    <s v="CS-1003"/>
    <n v="1003"/>
    <x v="0"/>
    <s v="Issue 984"/>
    <x v="2"/>
    <x v="0"/>
    <x v="0"/>
    <x v="9"/>
    <x v="3"/>
    <s v="Client 984"/>
    <x v="165"/>
    <m/>
    <x v="134"/>
  </r>
  <r>
    <s v="CS-1004"/>
    <n v="1004"/>
    <x v="0"/>
    <s v="Issue 985"/>
    <x v="2"/>
    <x v="0"/>
    <x v="0"/>
    <x v="9"/>
    <x v="3"/>
    <s v="Client 985"/>
    <x v="165"/>
    <m/>
    <x v="134"/>
  </r>
  <r>
    <s v="CS-1005"/>
    <n v="1005"/>
    <x v="0"/>
    <s v="Issue 986"/>
    <x v="3"/>
    <x v="0"/>
    <x v="0"/>
    <x v="9"/>
    <x v="5"/>
    <s v="Client 986"/>
    <x v="165"/>
    <m/>
    <x v="116"/>
  </r>
  <r>
    <s v="CS-1006"/>
    <n v="1006"/>
    <x v="0"/>
    <s v="Issue 987"/>
    <x v="2"/>
    <x v="0"/>
    <x v="0"/>
    <x v="9"/>
    <x v="1"/>
    <s v="Client 987"/>
    <x v="165"/>
    <m/>
    <x v="147"/>
  </r>
  <r>
    <s v="CS-1007"/>
    <n v="1007"/>
    <x v="0"/>
    <s v="Issue 988"/>
    <x v="2"/>
    <x v="0"/>
    <x v="0"/>
    <x v="9"/>
    <x v="3"/>
    <s v="Client 988"/>
    <x v="166"/>
    <m/>
    <x v="166"/>
  </r>
  <r>
    <s v="CS-1008"/>
    <n v="1008"/>
    <x v="0"/>
    <s v="Issue 989"/>
    <x v="2"/>
    <x v="1"/>
    <x v="0"/>
    <x v="7"/>
    <x v="7"/>
    <s v="Client 989"/>
    <x v="167"/>
    <m/>
    <x v="1"/>
  </r>
  <r>
    <s v="CS-1009"/>
    <n v="1009"/>
    <x v="1"/>
    <s v="Issue 990"/>
    <x v="2"/>
    <x v="0"/>
    <x v="0"/>
    <x v="1"/>
    <x v="0"/>
    <s v="Client 990"/>
    <x v="167"/>
    <m/>
    <x v="116"/>
  </r>
  <r>
    <s v="CS-1010"/>
    <n v="1010"/>
    <x v="1"/>
    <s v="Issue 991"/>
    <x v="3"/>
    <x v="1"/>
    <x v="0"/>
    <x v="7"/>
    <x v="0"/>
    <s v="Client 991"/>
    <x v="167"/>
    <m/>
    <x v="1"/>
  </r>
  <r>
    <s v="CS-1011"/>
    <n v="1011"/>
    <x v="0"/>
    <s v="Issue 992"/>
    <x v="3"/>
    <x v="0"/>
    <x v="0"/>
    <x v="7"/>
    <x v="3"/>
    <s v="Client 992"/>
    <x v="167"/>
    <m/>
    <x v="116"/>
  </r>
  <r>
    <s v="CS-1012"/>
    <n v="1012"/>
    <x v="0"/>
    <s v="Issue 993"/>
    <x v="3"/>
    <x v="0"/>
    <x v="0"/>
    <x v="1"/>
    <x v="3"/>
    <s v="Client 993"/>
    <x v="167"/>
    <m/>
    <x v="134"/>
  </r>
  <r>
    <s v="CS-1013"/>
    <n v="1013"/>
    <x v="0"/>
    <s v="Issue 994"/>
    <x v="2"/>
    <x v="0"/>
    <x v="0"/>
    <x v="9"/>
    <x v="3"/>
    <s v="Client 994"/>
    <x v="168"/>
    <m/>
    <x v="134"/>
  </r>
  <r>
    <s v="CS-1014"/>
    <n v="1014"/>
    <x v="1"/>
    <s v="Issue 995"/>
    <x v="1"/>
    <x v="0"/>
    <x v="0"/>
    <x v="1"/>
    <x v="7"/>
    <s v="Client 995"/>
    <x v="168"/>
    <m/>
    <x v="134"/>
  </r>
  <r>
    <s v="CS-1015"/>
    <n v="1015"/>
    <x v="1"/>
    <s v="Issue 996"/>
    <x v="2"/>
    <x v="0"/>
    <x v="0"/>
    <x v="1"/>
    <x v="7"/>
    <s v="Client 996"/>
    <x v="168"/>
    <m/>
    <x v="134"/>
  </r>
  <r>
    <s v="CS-1016"/>
    <n v="1016"/>
    <x v="1"/>
    <s v="Issue 997"/>
    <x v="3"/>
    <x v="0"/>
    <x v="0"/>
    <x v="8"/>
    <x v="7"/>
    <s v="Client 997"/>
    <x v="169"/>
    <m/>
    <x v="168"/>
  </r>
  <r>
    <s v="CS-1017"/>
    <n v="1017"/>
    <x v="1"/>
    <s v="Issue 998"/>
    <x v="3"/>
    <x v="0"/>
    <x v="0"/>
    <x v="1"/>
    <x v="7"/>
    <s v="Client 998"/>
    <x v="169"/>
    <m/>
    <x v="169"/>
  </r>
  <r>
    <s v="CS-1018"/>
    <n v="1018"/>
    <x v="0"/>
    <s v="Issue 999"/>
    <x v="1"/>
    <x v="0"/>
    <x v="0"/>
    <x v="9"/>
    <x v="1"/>
    <s v="Client 999"/>
    <x v="169"/>
    <m/>
    <x v="170"/>
  </r>
  <r>
    <s v="CS-1019"/>
    <n v="1019"/>
    <x v="0"/>
    <s v="Issue 1000"/>
    <x v="2"/>
    <x v="0"/>
    <x v="0"/>
    <x v="9"/>
    <x v="1"/>
    <s v="Client 1000"/>
    <x v="169"/>
    <m/>
    <x v="164"/>
  </r>
  <r>
    <s v="CS-1020"/>
    <n v="1020"/>
    <x v="0"/>
    <s v="Issue 1001"/>
    <x v="1"/>
    <x v="0"/>
    <x v="0"/>
    <x v="7"/>
    <x v="0"/>
    <s v="Client 1001"/>
    <x v="169"/>
    <m/>
    <x v="160"/>
  </r>
  <r>
    <s v="CS-1021"/>
    <n v="1021"/>
    <x v="0"/>
    <s v="Issue 1002"/>
    <x v="1"/>
    <x v="0"/>
    <x v="0"/>
    <x v="7"/>
    <x v="6"/>
    <s v="Client 1002"/>
    <x v="169"/>
    <m/>
    <x v="134"/>
  </r>
  <r>
    <s v="CS-1022"/>
    <n v="1022"/>
    <x v="1"/>
    <s v="Issue 1003"/>
    <x v="2"/>
    <x v="0"/>
    <x v="0"/>
    <x v="7"/>
    <x v="7"/>
    <s v="Client 1003"/>
    <x v="169"/>
    <m/>
    <x v="171"/>
  </r>
  <r>
    <s v="CS-1023"/>
    <n v="1023"/>
    <x v="1"/>
    <s v="Issue 1004"/>
    <x v="2"/>
    <x v="0"/>
    <x v="0"/>
    <x v="1"/>
    <x v="0"/>
    <s v="Client 1004"/>
    <x v="169"/>
    <m/>
    <x v="172"/>
  </r>
  <r>
    <s v="CS-1024"/>
    <n v="1024"/>
    <x v="1"/>
    <s v="Issue 1005"/>
    <x v="2"/>
    <x v="0"/>
    <x v="0"/>
    <x v="1"/>
    <x v="0"/>
    <s v="Client 1005"/>
    <x v="169"/>
    <m/>
    <x v="134"/>
  </r>
  <r>
    <s v="CS-1025"/>
    <n v="1025"/>
    <x v="0"/>
    <s v="Issue 1006"/>
    <x v="3"/>
    <x v="0"/>
    <x v="0"/>
    <x v="1"/>
    <x v="4"/>
    <s v="Client 1006"/>
    <x v="170"/>
    <m/>
    <x v="164"/>
  </r>
  <r>
    <s v="CS-1026"/>
    <n v="1026"/>
    <x v="0"/>
    <s v="Issue 1007"/>
    <x v="2"/>
    <x v="0"/>
    <x v="0"/>
    <x v="7"/>
    <x v="5"/>
    <s v="Client 1007"/>
    <x v="170"/>
    <m/>
    <x v="134"/>
  </r>
  <r>
    <s v="CS-1027"/>
    <n v="1027"/>
    <x v="0"/>
    <s v="Issue 1008"/>
    <x v="2"/>
    <x v="0"/>
    <x v="0"/>
    <x v="9"/>
    <x v="2"/>
    <s v="Client 1008"/>
    <x v="170"/>
    <m/>
    <x v="134"/>
  </r>
  <r>
    <s v="CS-1028"/>
    <n v="1028"/>
    <x v="0"/>
    <s v="Issue 1009"/>
    <x v="2"/>
    <x v="0"/>
    <x v="0"/>
    <x v="7"/>
    <x v="0"/>
    <s v="Client 1009"/>
    <x v="170"/>
    <m/>
    <x v="134"/>
  </r>
  <r>
    <s v="CS-1029"/>
    <n v="1029"/>
    <x v="0"/>
    <s v="Issue 1010"/>
    <x v="1"/>
    <x v="0"/>
    <x v="0"/>
    <x v="9"/>
    <x v="5"/>
    <s v="Client 1010"/>
    <x v="170"/>
    <m/>
    <x v="165"/>
  </r>
  <r>
    <s v="CS-1030"/>
    <n v="1030"/>
    <x v="0"/>
    <s v="Issue 1011"/>
    <x v="2"/>
    <x v="0"/>
    <x v="0"/>
    <x v="7"/>
    <x v="0"/>
    <s v="Client 1011"/>
    <x v="171"/>
    <m/>
    <x v="134"/>
  </r>
  <r>
    <s v="CS-1031"/>
    <n v="1031"/>
    <x v="0"/>
    <s v="Issue 1012"/>
    <x v="2"/>
    <x v="0"/>
    <x v="0"/>
    <x v="9"/>
    <x v="3"/>
    <s v="Client 1012"/>
    <x v="171"/>
    <m/>
    <x v="134"/>
  </r>
  <r>
    <s v="CS-1032"/>
    <n v="1032"/>
    <x v="0"/>
    <s v="Issue 1013"/>
    <x v="2"/>
    <x v="0"/>
    <x v="0"/>
    <x v="9"/>
    <x v="1"/>
    <s v="Client 1013"/>
    <x v="172"/>
    <m/>
    <x v="173"/>
  </r>
  <r>
    <s v="CS-1033"/>
    <n v="1033"/>
    <x v="0"/>
    <s v="Issue 1014"/>
    <x v="2"/>
    <x v="0"/>
    <x v="0"/>
    <x v="9"/>
    <x v="3"/>
    <s v="Client 1014"/>
    <x v="172"/>
    <m/>
    <x v="134"/>
  </r>
  <r>
    <s v="CS-1034"/>
    <n v="1034"/>
    <x v="0"/>
    <s v="Issue 1015"/>
    <x v="1"/>
    <x v="0"/>
    <x v="0"/>
    <x v="9"/>
    <x v="4"/>
    <s v="Client 1015"/>
    <x v="172"/>
    <m/>
    <x v="174"/>
  </r>
  <r>
    <s v="CS-1035"/>
    <n v="1035"/>
    <x v="0"/>
    <s v="Issue 1016"/>
    <x v="2"/>
    <x v="0"/>
    <x v="0"/>
    <x v="7"/>
    <x v="0"/>
    <s v="Client 1016"/>
    <x v="172"/>
    <m/>
    <x v="171"/>
  </r>
  <r>
    <s v="CS-1036"/>
    <n v="1036"/>
    <x v="0"/>
    <s v="Issue 1017"/>
    <x v="2"/>
    <x v="0"/>
    <x v="0"/>
    <x v="9"/>
    <x v="1"/>
    <s v="Client 1017"/>
    <x v="172"/>
    <m/>
    <x v="173"/>
  </r>
  <r>
    <s v="CS-1037"/>
    <n v="1037"/>
    <x v="0"/>
    <s v="Issue 1018"/>
    <x v="1"/>
    <x v="0"/>
    <x v="0"/>
    <x v="9"/>
    <x v="1"/>
    <s v="Client 1018"/>
    <x v="173"/>
    <m/>
    <x v="165"/>
  </r>
  <r>
    <s v="CS-1038"/>
    <n v="1038"/>
    <x v="0"/>
    <s v="Issue 1019"/>
    <x v="2"/>
    <x v="0"/>
    <x v="0"/>
    <x v="9"/>
    <x v="1"/>
    <s v="Client 1019"/>
    <x v="173"/>
    <m/>
    <x v="134"/>
  </r>
  <r>
    <s v="CS-1039"/>
    <n v="1039"/>
    <x v="0"/>
    <s v="Issue 1020"/>
    <x v="2"/>
    <x v="0"/>
    <x v="0"/>
    <x v="7"/>
    <x v="0"/>
    <s v="Client 1020"/>
    <x v="173"/>
    <m/>
    <x v="160"/>
  </r>
  <r>
    <s v="CS-1040"/>
    <n v="1040"/>
    <x v="0"/>
    <s v="Issue 1021"/>
    <x v="2"/>
    <x v="0"/>
    <x v="0"/>
    <x v="7"/>
    <x v="0"/>
    <s v="Client 1021"/>
    <x v="173"/>
    <m/>
    <x v="175"/>
  </r>
  <r>
    <s v="CS-1041"/>
    <n v="1041"/>
    <x v="0"/>
    <s v="Issue 1022"/>
    <x v="3"/>
    <x v="0"/>
    <x v="0"/>
    <x v="9"/>
    <x v="3"/>
    <s v="Client 1022"/>
    <x v="173"/>
    <m/>
    <x v="160"/>
  </r>
  <r>
    <s v="CS-1042"/>
    <n v="1042"/>
    <x v="0"/>
    <s v="Issue 1023"/>
    <x v="2"/>
    <x v="1"/>
    <x v="0"/>
    <x v="7"/>
    <x v="3"/>
    <s v="Client 1023"/>
    <x v="173"/>
    <m/>
    <x v="1"/>
  </r>
  <r>
    <s v="CS-1043"/>
    <n v="1043"/>
    <x v="0"/>
    <s v="Issue 1024"/>
    <x v="1"/>
    <x v="0"/>
    <x v="0"/>
    <x v="1"/>
    <x v="0"/>
    <s v="Client 1024"/>
    <x v="174"/>
    <m/>
    <x v="165"/>
  </r>
  <r>
    <s v="CS-1044"/>
    <n v="1044"/>
    <x v="0"/>
    <s v="Issue 1025"/>
    <x v="1"/>
    <x v="0"/>
    <x v="0"/>
    <x v="7"/>
    <x v="7"/>
    <s v="Client 1025"/>
    <x v="174"/>
    <m/>
    <x v="172"/>
  </r>
  <r>
    <s v="CS-1045"/>
    <n v="1045"/>
    <x v="0"/>
    <s v="Issue 1026"/>
    <x v="2"/>
    <x v="0"/>
    <x v="0"/>
    <x v="9"/>
    <x v="1"/>
    <s v="Client 1026"/>
    <x v="174"/>
    <m/>
    <x v="176"/>
  </r>
  <r>
    <s v="CS-1046"/>
    <n v="1046"/>
    <x v="0"/>
    <s v="Issue 1027"/>
    <x v="2"/>
    <x v="0"/>
    <x v="0"/>
    <x v="9"/>
    <x v="3"/>
    <s v="Client 1027"/>
    <x v="174"/>
    <m/>
    <x v="172"/>
  </r>
  <r>
    <s v="CS-1047"/>
    <n v="1047"/>
    <x v="0"/>
    <s v="Issue 1028"/>
    <x v="2"/>
    <x v="0"/>
    <x v="0"/>
    <x v="1"/>
    <x v="4"/>
    <s v="Client 1028"/>
    <x v="174"/>
    <m/>
    <x v="177"/>
  </r>
  <r>
    <s v="CS-1048"/>
    <n v="1048"/>
    <x v="0"/>
    <s v="Issue 1029"/>
    <x v="2"/>
    <x v="0"/>
    <x v="0"/>
    <x v="9"/>
    <x v="4"/>
    <s v="Client 1029"/>
    <x v="174"/>
    <m/>
    <x v="178"/>
  </r>
  <r>
    <s v="CS-1049"/>
    <n v="1049"/>
    <x v="0"/>
    <s v="Issue 1030"/>
    <x v="2"/>
    <x v="0"/>
    <x v="0"/>
    <x v="9"/>
    <x v="1"/>
    <s v="Client 1030"/>
    <x v="174"/>
    <m/>
    <x v="164"/>
  </r>
  <r>
    <s v="CS-1050"/>
    <n v="1050"/>
    <x v="0"/>
    <s v="Issue 1031"/>
    <x v="2"/>
    <x v="0"/>
    <x v="0"/>
    <x v="7"/>
    <x v="4"/>
    <s v="Client 1031"/>
    <x v="174"/>
    <m/>
    <x v="172"/>
  </r>
  <r>
    <s v="CS-1051"/>
    <n v="1051"/>
    <x v="1"/>
    <s v="Issue 1032"/>
    <x v="3"/>
    <x v="0"/>
    <x v="0"/>
    <x v="1"/>
    <x v="0"/>
    <s v="Client 1032"/>
    <x v="174"/>
    <m/>
    <x v="160"/>
  </r>
  <r>
    <s v="CS-1052"/>
    <n v="1052"/>
    <x v="0"/>
    <s v="Issue 1033"/>
    <x v="2"/>
    <x v="0"/>
    <x v="0"/>
    <x v="1"/>
    <x v="1"/>
    <s v="Client 1033"/>
    <x v="174"/>
    <m/>
    <x v="179"/>
  </r>
  <r>
    <s v="CS-1053"/>
    <n v="1053"/>
    <x v="0"/>
    <s v="Issue 1034"/>
    <x v="3"/>
    <x v="0"/>
    <x v="0"/>
    <x v="9"/>
    <x v="7"/>
    <s v="Client 1034"/>
    <x v="174"/>
    <m/>
    <x v="160"/>
  </r>
  <r>
    <s v="CS-1054"/>
    <n v="1054"/>
    <x v="0"/>
    <s v="Issue 1035"/>
    <x v="2"/>
    <x v="0"/>
    <x v="0"/>
    <x v="9"/>
    <x v="1"/>
    <s v="Client 1035"/>
    <x v="174"/>
    <m/>
    <x v="160"/>
  </r>
  <r>
    <s v="CS-1055"/>
    <n v="1055"/>
    <x v="0"/>
    <s v="Issue 1036"/>
    <x v="2"/>
    <x v="1"/>
    <x v="0"/>
    <x v="7"/>
    <x v="3"/>
    <s v="Client 1036"/>
    <x v="174"/>
    <m/>
    <x v="1"/>
  </r>
  <r>
    <s v="CS-1056"/>
    <n v="1056"/>
    <x v="0"/>
    <s v="Issue 1037"/>
    <x v="3"/>
    <x v="0"/>
    <x v="0"/>
    <x v="9"/>
    <x v="4"/>
    <s v="Client 1037"/>
    <x v="175"/>
    <m/>
    <x v="171"/>
  </r>
  <r>
    <s v="CS-1057"/>
    <n v="1057"/>
    <x v="0"/>
    <s v="Issue 1038"/>
    <x v="2"/>
    <x v="0"/>
    <x v="0"/>
    <x v="9"/>
    <x v="3"/>
    <s v="Client 1038"/>
    <x v="175"/>
    <m/>
    <x v="171"/>
  </r>
  <r>
    <s v="CS-1058"/>
    <n v="1058"/>
    <x v="0"/>
    <s v="Issue 1039"/>
    <x v="1"/>
    <x v="0"/>
    <x v="0"/>
    <x v="9"/>
    <x v="7"/>
    <s v="Client 1039"/>
    <x v="175"/>
    <m/>
    <x v="171"/>
  </r>
  <r>
    <s v="CS-1059"/>
    <n v="1059"/>
    <x v="0"/>
    <s v="Issue 1040"/>
    <x v="2"/>
    <x v="1"/>
    <x v="0"/>
    <x v="1"/>
    <x v="4"/>
    <s v="Client 1040"/>
    <x v="175"/>
    <m/>
    <x v="1"/>
  </r>
  <r>
    <s v="CS-1060"/>
    <n v="1060"/>
    <x v="0"/>
    <s v="Issue 1041"/>
    <x v="1"/>
    <x v="0"/>
    <x v="0"/>
    <x v="9"/>
    <x v="3"/>
    <s v="Client 1041"/>
    <x v="175"/>
    <m/>
    <x v="165"/>
  </r>
  <r>
    <s v="CS-1061"/>
    <n v="1061"/>
    <x v="0"/>
    <s v="Issue 1042"/>
    <x v="1"/>
    <x v="0"/>
    <x v="0"/>
    <x v="9"/>
    <x v="7"/>
    <s v="Client 1042"/>
    <x v="175"/>
    <m/>
    <x v="165"/>
  </r>
  <r>
    <s v="CS-1062"/>
    <n v="1062"/>
    <x v="0"/>
    <s v="Issue 1043"/>
    <x v="1"/>
    <x v="0"/>
    <x v="0"/>
    <x v="7"/>
    <x v="4"/>
    <s v="Client 1043"/>
    <x v="175"/>
    <m/>
    <x v="165"/>
  </r>
  <r>
    <s v="CS-1063"/>
    <n v="1063"/>
    <x v="0"/>
    <s v="Issue 1044"/>
    <x v="1"/>
    <x v="0"/>
    <x v="0"/>
    <x v="7"/>
    <x v="2"/>
    <s v="Client 1044"/>
    <x v="176"/>
    <m/>
    <x v="160"/>
  </r>
  <r>
    <s v="CS-1064"/>
    <n v="1064"/>
    <x v="0"/>
    <s v="Issue 1045"/>
    <x v="1"/>
    <x v="0"/>
    <x v="0"/>
    <x v="9"/>
    <x v="5"/>
    <s v="Client 1045"/>
    <x v="176"/>
    <m/>
    <x v="165"/>
  </r>
  <r>
    <s v="CS-1065"/>
    <n v="1065"/>
    <x v="0"/>
    <s v="Issue 1046"/>
    <x v="2"/>
    <x v="0"/>
    <x v="0"/>
    <x v="9"/>
    <x v="3"/>
    <s v="Client 1046"/>
    <x v="177"/>
    <m/>
    <x v="165"/>
  </r>
  <r>
    <s v="CS-1066"/>
    <n v="1066"/>
    <x v="0"/>
    <s v="Issue 1047"/>
    <x v="2"/>
    <x v="0"/>
    <x v="0"/>
    <x v="7"/>
    <x v="5"/>
    <s v="Client 1047"/>
    <x v="177"/>
    <m/>
    <x v="160"/>
  </r>
  <r>
    <s v="CS-1067"/>
    <n v="1067"/>
    <x v="0"/>
    <s v="Issue 1048"/>
    <x v="2"/>
    <x v="0"/>
    <x v="0"/>
    <x v="9"/>
    <x v="1"/>
    <s v="Client 1048"/>
    <x v="177"/>
    <m/>
    <x v="165"/>
  </r>
  <r>
    <s v="CS-1068"/>
    <n v="1068"/>
    <x v="0"/>
    <s v="Issue 1049"/>
    <x v="2"/>
    <x v="0"/>
    <x v="0"/>
    <x v="7"/>
    <x v="5"/>
    <s v="Client 1049"/>
    <x v="177"/>
    <m/>
    <x v="174"/>
  </r>
  <r>
    <s v="CS-1069"/>
    <n v="1069"/>
    <x v="0"/>
    <s v="Issue 1050"/>
    <x v="2"/>
    <x v="1"/>
    <x v="0"/>
    <x v="7"/>
    <x v="3"/>
    <s v="Client 1050"/>
    <x v="177"/>
    <m/>
    <x v="1"/>
  </r>
  <r>
    <s v="CS-1070"/>
    <n v="1070"/>
    <x v="0"/>
    <s v="Issue 1051"/>
    <x v="3"/>
    <x v="0"/>
    <x v="0"/>
    <x v="9"/>
    <x v="3"/>
    <s v="Client 1051"/>
    <x v="177"/>
    <m/>
    <x v="165"/>
  </r>
  <r>
    <s v="CS-1071"/>
    <n v="1071"/>
    <x v="0"/>
    <s v="Issue 1052"/>
    <x v="2"/>
    <x v="0"/>
    <x v="0"/>
    <x v="9"/>
    <x v="3"/>
    <s v="Client 1052"/>
    <x v="177"/>
    <m/>
    <x v="174"/>
  </r>
  <r>
    <s v="CS-1072"/>
    <n v="1072"/>
    <x v="0"/>
    <s v="Issue 1053"/>
    <x v="1"/>
    <x v="0"/>
    <x v="0"/>
    <x v="9"/>
    <x v="3"/>
    <s v="Client 1053"/>
    <x v="178"/>
    <m/>
    <x v="160"/>
  </r>
  <r>
    <s v="CS-1073"/>
    <n v="1073"/>
    <x v="0"/>
    <s v="Issue 1054"/>
    <x v="1"/>
    <x v="0"/>
    <x v="0"/>
    <x v="9"/>
    <x v="7"/>
    <s v="Client 1054"/>
    <x v="178"/>
    <m/>
    <x v="176"/>
  </r>
  <r>
    <s v="CS-1074"/>
    <n v="1074"/>
    <x v="0"/>
    <s v="Issue 1055"/>
    <x v="2"/>
    <x v="0"/>
    <x v="0"/>
    <x v="7"/>
    <x v="2"/>
    <s v="Client 1055"/>
    <x v="179"/>
    <m/>
    <x v="176"/>
  </r>
  <r>
    <s v="CS-1075"/>
    <n v="1075"/>
    <x v="1"/>
    <s v="Issue 1056"/>
    <x v="1"/>
    <x v="0"/>
    <x v="0"/>
    <x v="8"/>
    <x v="1"/>
    <s v="Client 1056"/>
    <x v="179"/>
    <m/>
    <x v="180"/>
  </r>
  <r>
    <s v="CS-1076"/>
    <n v="1076"/>
    <x v="1"/>
    <s v="Issue 1057"/>
    <x v="2"/>
    <x v="0"/>
    <x v="0"/>
    <x v="1"/>
    <x v="0"/>
    <s v="Client 1057"/>
    <x v="179"/>
    <m/>
    <x v="160"/>
  </r>
  <r>
    <s v="CS-1077"/>
    <n v="1077"/>
    <x v="1"/>
    <s v="Issue 1058"/>
    <x v="3"/>
    <x v="0"/>
    <x v="0"/>
    <x v="1"/>
    <x v="3"/>
    <s v="Client 1058"/>
    <x v="179"/>
    <m/>
    <x v="181"/>
  </r>
  <r>
    <s v="CS-1078"/>
    <n v="1078"/>
    <x v="1"/>
    <s v="Issue 1059"/>
    <x v="1"/>
    <x v="0"/>
    <x v="0"/>
    <x v="8"/>
    <x v="1"/>
    <s v="Client 1059"/>
    <x v="179"/>
    <m/>
    <x v="180"/>
  </r>
  <r>
    <s v="CS-1079"/>
    <n v="1079"/>
    <x v="1"/>
    <s v="Issue 1060"/>
    <x v="2"/>
    <x v="1"/>
    <x v="0"/>
    <x v="8"/>
    <x v="5"/>
    <s v="Client 1060"/>
    <x v="179"/>
    <m/>
    <x v="1"/>
  </r>
  <r>
    <s v="CS-1080"/>
    <n v="1080"/>
    <x v="0"/>
    <s v="Issue 1061"/>
    <x v="2"/>
    <x v="0"/>
    <x v="0"/>
    <x v="9"/>
    <x v="5"/>
    <s v="Client 1061"/>
    <x v="180"/>
    <m/>
    <x v="168"/>
  </r>
  <r>
    <s v="CS-1081"/>
    <n v="1081"/>
    <x v="0"/>
    <s v="Issue 1062"/>
    <x v="2"/>
    <x v="0"/>
    <x v="0"/>
    <x v="7"/>
    <x v="4"/>
    <s v="Client 1062"/>
    <x v="180"/>
    <m/>
    <x v="165"/>
  </r>
  <r>
    <s v="CS-1082"/>
    <n v="1082"/>
    <x v="0"/>
    <s v="Issue 1063"/>
    <x v="2"/>
    <x v="0"/>
    <x v="0"/>
    <x v="9"/>
    <x v="4"/>
    <s v="Client 1063"/>
    <x v="180"/>
    <m/>
    <x v="165"/>
  </r>
  <r>
    <s v="CS-1083"/>
    <n v="1083"/>
    <x v="0"/>
    <s v="Issue 1064"/>
    <x v="1"/>
    <x v="0"/>
    <x v="0"/>
    <x v="1"/>
    <x v="1"/>
    <s v="Client 1064"/>
    <x v="180"/>
    <m/>
    <x v="182"/>
  </r>
  <r>
    <s v="CS-1084"/>
    <n v="1084"/>
    <x v="0"/>
    <s v="Issue 1065"/>
    <x v="2"/>
    <x v="0"/>
    <x v="0"/>
    <x v="7"/>
    <x v="5"/>
    <s v="Client 1065"/>
    <x v="180"/>
    <m/>
    <x v="183"/>
  </r>
  <r>
    <s v="CS-1085"/>
    <n v="1085"/>
    <x v="0"/>
    <s v="Issue 1066"/>
    <x v="1"/>
    <x v="0"/>
    <x v="0"/>
    <x v="9"/>
    <x v="4"/>
    <s v="Client 1066"/>
    <x v="180"/>
    <m/>
    <x v="168"/>
  </r>
  <r>
    <s v="CS-1086"/>
    <n v="1086"/>
    <x v="0"/>
    <s v="Issue 1067"/>
    <x v="2"/>
    <x v="0"/>
    <x v="0"/>
    <x v="9"/>
    <x v="3"/>
    <s v="Client 1067"/>
    <x v="180"/>
    <m/>
    <x v="168"/>
  </r>
  <r>
    <s v="CS-1087"/>
    <n v="1087"/>
    <x v="0"/>
    <s v="Issue 1068"/>
    <x v="2"/>
    <x v="0"/>
    <x v="0"/>
    <x v="0"/>
    <x v="3"/>
    <s v="Client 1068"/>
    <x v="181"/>
    <m/>
    <x v="177"/>
  </r>
  <r>
    <s v="CS-1088"/>
    <n v="1088"/>
    <x v="0"/>
    <s v="Issue 1069"/>
    <x v="1"/>
    <x v="0"/>
    <x v="0"/>
    <x v="1"/>
    <x v="3"/>
    <s v="Client 1069"/>
    <x v="181"/>
    <m/>
    <x v="184"/>
  </r>
  <r>
    <s v="CS-1089"/>
    <n v="1089"/>
    <x v="0"/>
    <s v="Issue 1070"/>
    <x v="1"/>
    <x v="0"/>
    <x v="0"/>
    <x v="7"/>
    <x v="2"/>
    <s v="Client 1070"/>
    <x v="181"/>
    <m/>
    <x v="1"/>
  </r>
  <r>
    <s v="CS-1090"/>
    <n v="1090"/>
    <x v="0"/>
    <s v="Issue 1071"/>
    <x v="1"/>
    <x v="0"/>
    <x v="0"/>
    <x v="9"/>
    <x v="3"/>
    <s v="Client 1071"/>
    <x v="181"/>
    <m/>
    <x v="168"/>
  </r>
  <r>
    <s v="CS-1091"/>
    <n v="1091"/>
    <x v="0"/>
    <s v="Issue 1072"/>
    <x v="2"/>
    <x v="0"/>
    <x v="0"/>
    <x v="1"/>
    <x v="5"/>
    <s v="Client 1072"/>
    <x v="181"/>
    <m/>
    <x v="182"/>
  </r>
  <r>
    <s v="CS-1092"/>
    <n v="1092"/>
    <x v="0"/>
    <s v="Issue 1073"/>
    <x v="2"/>
    <x v="0"/>
    <x v="0"/>
    <x v="7"/>
    <x v="5"/>
    <s v="Client 1073"/>
    <x v="181"/>
    <m/>
    <x v="177"/>
  </r>
  <r>
    <s v="CS-1093"/>
    <n v="1093"/>
    <x v="0"/>
    <s v="Issue 1074"/>
    <x v="2"/>
    <x v="1"/>
    <x v="0"/>
    <x v="7"/>
    <x v="3"/>
    <s v="Client 1074"/>
    <x v="181"/>
    <m/>
    <x v="168"/>
  </r>
  <r>
    <s v="CS-1094"/>
    <n v="1094"/>
    <x v="0"/>
    <s v="Issue 1075"/>
    <x v="1"/>
    <x v="0"/>
    <x v="0"/>
    <x v="9"/>
    <x v="7"/>
    <s v="Client 1075"/>
    <x v="182"/>
    <m/>
    <x v="185"/>
  </r>
  <r>
    <s v="CS-1095"/>
    <n v="1095"/>
    <x v="0"/>
    <s v="Issue 1076"/>
    <x v="2"/>
    <x v="0"/>
    <x v="0"/>
    <x v="9"/>
    <x v="3"/>
    <s v="Client 1076"/>
    <x v="183"/>
    <m/>
    <x v="180"/>
  </r>
  <r>
    <s v="CS-1096"/>
    <n v="1096"/>
    <x v="0"/>
    <s v="Issue 1077"/>
    <x v="2"/>
    <x v="0"/>
    <x v="0"/>
    <x v="1"/>
    <x v="1"/>
    <s v="Client 1077"/>
    <x v="183"/>
    <m/>
    <x v="186"/>
  </r>
  <r>
    <s v="CS-1097"/>
    <n v="1097"/>
    <x v="0"/>
    <s v="Issue 1078"/>
    <x v="1"/>
    <x v="0"/>
    <x v="0"/>
    <x v="9"/>
    <x v="3"/>
    <s v="Client 1078"/>
    <x v="184"/>
    <m/>
    <x v="187"/>
  </r>
  <r>
    <s v="CS-1098"/>
    <n v="1098"/>
    <x v="1"/>
    <s v="Issue 1079"/>
    <x v="2"/>
    <x v="0"/>
    <x v="0"/>
    <x v="1"/>
    <x v="4"/>
    <s v="Client 1079"/>
    <x v="184"/>
    <m/>
    <x v="188"/>
  </r>
  <r>
    <s v="CS-1099"/>
    <n v="1099"/>
    <x v="0"/>
    <s v="Issue 1080"/>
    <x v="1"/>
    <x v="0"/>
    <x v="0"/>
    <x v="9"/>
    <x v="3"/>
    <s v="Client 1080"/>
    <x v="184"/>
    <m/>
    <x v="180"/>
  </r>
  <r>
    <s v="CS-1100"/>
    <n v="1100"/>
    <x v="0"/>
    <s v="Issue 1081"/>
    <x v="1"/>
    <x v="0"/>
    <x v="0"/>
    <x v="1"/>
    <x v="4"/>
    <s v="Client 1081"/>
    <x v="184"/>
    <m/>
    <x v="181"/>
  </r>
  <r>
    <s v="CS-1101"/>
    <n v="1101"/>
    <x v="0"/>
    <s v="Issue 1082"/>
    <x v="2"/>
    <x v="1"/>
    <x v="0"/>
    <x v="7"/>
    <x v="5"/>
    <s v="Client 1082"/>
    <x v="184"/>
    <m/>
    <x v="1"/>
  </r>
  <r>
    <s v="CS-1102"/>
    <n v="1102"/>
    <x v="0"/>
    <s v="Issue 1083"/>
    <x v="1"/>
    <x v="0"/>
    <x v="0"/>
    <x v="7"/>
    <x v="3"/>
    <s v="Client 1083"/>
    <x v="185"/>
    <m/>
    <x v="182"/>
  </r>
  <r>
    <s v="CS-1103"/>
    <n v="1103"/>
    <x v="1"/>
    <s v="Issue 1084"/>
    <x v="2"/>
    <x v="1"/>
    <x v="0"/>
    <x v="7"/>
    <x v="5"/>
    <s v="Client 1084"/>
    <x v="185"/>
    <m/>
    <x v="1"/>
  </r>
  <r>
    <s v="CS-1104"/>
    <n v="1104"/>
    <x v="0"/>
    <s v="Issue 1085"/>
    <x v="2"/>
    <x v="0"/>
    <x v="0"/>
    <x v="7"/>
    <x v="3"/>
    <s v="Client 1085"/>
    <x v="185"/>
    <m/>
    <x v="188"/>
  </r>
  <r>
    <s v="CS-1105"/>
    <n v="1105"/>
    <x v="1"/>
    <s v="Issue 1086"/>
    <x v="1"/>
    <x v="0"/>
    <x v="0"/>
    <x v="1"/>
    <x v="1"/>
    <s v="Client 1086"/>
    <x v="185"/>
    <m/>
    <x v="182"/>
  </r>
  <r>
    <s v="CS-1106"/>
    <n v="1106"/>
    <x v="0"/>
    <s v="Issue 1087"/>
    <x v="2"/>
    <x v="0"/>
    <x v="0"/>
    <x v="7"/>
    <x v="5"/>
    <s v="Client 1087"/>
    <x v="185"/>
    <m/>
    <x v="183"/>
  </r>
  <r>
    <s v="CS-1107"/>
    <n v="1107"/>
    <x v="0"/>
    <s v="Issue 1088"/>
    <x v="2"/>
    <x v="0"/>
    <x v="0"/>
    <x v="1"/>
    <x v="3"/>
    <s v="Client 1088"/>
    <x v="185"/>
    <m/>
    <x v="189"/>
  </r>
  <r>
    <s v="CS-1108"/>
    <n v="1108"/>
    <x v="0"/>
    <s v="Issue 1089"/>
    <x v="2"/>
    <x v="0"/>
    <x v="0"/>
    <x v="1"/>
    <x v="4"/>
    <s v="Client 1089"/>
    <x v="185"/>
    <m/>
    <x v="190"/>
  </r>
  <r>
    <s v="CS-1109"/>
    <n v="1109"/>
    <x v="0"/>
    <s v="Issue 1090"/>
    <x v="2"/>
    <x v="0"/>
    <x v="0"/>
    <x v="1"/>
    <x v="1"/>
    <s v="Client 1090"/>
    <x v="185"/>
    <m/>
    <x v="179"/>
  </r>
  <r>
    <s v="CS-1110"/>
    <n v="1110"/>
    <x v="0"/>
    <s v="Issue 1091"/>
    <x v="2"/>
    <x v="0"/>
    <x v="0"/>
    <x v="1"/>
    <x v="5"/>
    <s v="Client 1091"/>
    <x v="186"/>
    <m/>
    <x v="177"/>
  </r>
  <r>
    <s v="CS-1111"/>
    <n v="1111"/>
    <x v="0"/>
    <s v="Issue 1092"/>
    <x v="2"/>
    <x v="0"/>
    <x v="0"/>
    <x v="9"/>
    <x v="4"/>
    <s v="Client 1092"/>
    <x v="186"/>
    <m/>
    <x v="170"/>
  </r>
  <r>
    <s v="CS-1112"/>
    <n v="1112"/>
    <x v="1"/>
    <s v="Issue 1093"/>
    <x v="1"/>
    <x v="0"/>
    <x v="0"/>
    <x v="1"/>
    <x v="4"/>
    <s v="Client 1093"/>
    <x v="186"/>
    <m/>
    <x v="191"/>
  </r>
  <r>
    <s v="CS-1113"/>
    <n v="1113"/>
    <x v="1"/>
    <s v="Issue 1094"/>
    <x v="1"/>
    <x v="0"/>
    <x v="0"/>
    <x v="1"/>
    <x v="7"/>
    <s v="Client 1094"/>
    <x v="187"/>
    <m/>
    <x v="185"/>
  </r>
  <r>
    <s v="CS-1114"/>
    <n v="1114"/>
    <x v="1"/>
    <s v="Issue 1095"/>
    <x v="1"/>
    <x v="0"/>
    <x v="0"/>
    <x v="1"/>
    <x v="0"/>
    <s v="Client 1095"/>
    <x v="187"/>
    <m/>
    <x v="187"/>
  </r>
  <r>
    <s v="CS-1115"/>
    <n v="1115"/>
    <x v="1"/>
    <s v="Issue 1096"/>
    <x v="2"/>
    <x v="0"/>
    <x v="0"/>
    <x v="1"/>
    <x v="5"/>
    <s v="Client 1096"/>
    <x v="187"/>
    <m/>
    <x v="192"/>
  </r>
  <r>
    <s v="CS-1116"/>
    <n v="1116"/>
    <x v="0"/>
    <s v="Issue 1097"/>
    <x v="1"/>
    <x v="0"/>
    <x v="0"/>
    <x v="9"/>
    <x v="6"/>
    <s v="Client 1097"/>
    <x v="187"/>
    <m/>
    <x v="193"/>
  </r>
  <r>
    <s v="CS-1117"/>
    <n v="1117"/>
    <x v="0"/>
    <s v="Issue 1098"/>
    <x v="2"/>
    <x v="1"/>
    <x v="0"/>
    <x v="7"/>
    <x v="4"/>
    <s v="Client 1098"/>
    <x v="187"/>
    <m/>
    <x v="1"/>
  </r>
  <r>
    <s v="CS-1118"/>
    <n v="1118"/>
    <x v="0"/>
    <s v="Issue 1099"/>
    <x v="1"/>
    <x v="0"/>
    <x v="0"/>
    <x v="9"/>
    <x v="4"/>
    <s v="Client 1099"/>
    <x v="187"/>
    <m/>
    <x v="194"/>
  </r>
  <r>
    <s v="CS-1119"/>
    <n v="1119"/>
    <x v="0"/>
    <s v="Issue 1100"/>
    <x v="1"/>
    <x v="0"/>
    <x v="0"/>
    <x v="9"/>
    <x v="3"/>
    <s v="Client 1100"/>
    <x v="187"/>
    <m/>
    <x v="195"/>
  </r>
  <r>
    <s v="CS-1120"/>
    <n v="1120"/>
    <x v="0"/>
    <s v="Issue 1101"/>
    <x v="2"/>
    <x v="0"/>
    <x v="0"/>
    <x v="9"/>
    <x v="3"/>
    <s v="Client 1101"/>
    <x v="188"/>
    <m/>
    <x v="192"/>
  </r>
  <r>
    <s v="CS-1122"/>
    <n v="1122"/>
    <x v="0"/>
    <s v="Issue 1103"/>
    <x v="1"/>
    <x v="0"/>
    <x v="0"/>
    <x v="1"/>
    <x v="4"/>
    <s v="Client 1103"/>
    <x v="188"/>
    <m/>
    <x v="196"/>
  </r>
  <r>
    <s v="CS-1123"/>
    <n v="1123"/>
    <x v="0"/>
    <s v="Issue 1104"/>
    <x v="2"/>
    <x v="0"/>
    <x v="0"/>
    <x v="1"/>
    <x v="3"/>
    <s v="Client 1104"/>
    <x v="188"/>
    <m/>
    <x v="193"/>
  </r>
  <r>
    <s v="CS-1124"/>
    <n v="1124"/>
    <x v="0"/>
    <s v="Issue 1105"/>
    <x v="2"/>
    <x v="0"/>
    <x v="0"/>
    <x v="7"/>
    <x v="0"/>
    <s v="Client 1105"/>
    <x v="189"/>
    <m/>
    <x v="188"/>
  </r>
  <r>
    <s v="CS-1125"/>
    <n v="1125"/>
    <x v="0"/>
    <s v="Issue 1106"/>
    <x v="1"/>
    <x v="0"/>
    <x v="0"/>
    <x v="7"/>
    <x v="0"/>
    <s v="Client 1106"/>
    <x v="189"/>
    <m/>
    <x v="188"/>
  </r>
  <r>
    <s v="CS-1126"/>
    <n v="1126"/>
    <x v="0"/>
    <s v="Issue 1107"/>
    <x v="1"/>
    <x v="0"/>
    <x v="0"/>
    <x v="9"/>
    <x v="4"/>
    <s v="Client 1107"/>
    <x v="189"/>
    <m/>
    <x v="192"/>
  </r>
  <r>
    <s v="CS-1127"/>
    <n v="1127"/>
    <x v="0"/>
    <s v="Issue 1108"/>
    <x v="1"/>
    <x v="0"/>
    <x v="0"/>
    <x v="9"/>
    <x v="3"/>
    <s v="Client 1108"/>
    <x v="189"/>
    <m/>
    <x v="192"/>
  </r>
  <r>
    <s v="CS-1128"/>
    <n v="1128"/>
    <x v="0"/>
    <s v="Issue 1109"/>
    <x v="2"/>
    <x v="0"/>
    <x v="0"/>
    <x v="7"/>
    <x v="5"/>
    <s v="Client 1109"/>
    <x v="189"/>
    <m/>
    <x v="177"/>
  </r>
  <r>
    <s v="CS-1129"/>
    <n v="1129"/>
    <x v="0"/>
    <s v="Issue 1110"/>
    <x v="3"/>
    <x v="0"/>
    <x v="0"/>
    <x v="9"/>
    <x v="3"/>
    <s v="Client 1110"/>
    <x v="189"/>
    <m/>
    <x v="180"/>
  </r>
  <r>
    <s v="CS-1130"/>
    <n v="1130"/>
    <x v="0"/>
    <s v="Issue 1111"/>
    <x v="2"/>
    <x v="0"/>
    <x v="0"/>
    <x v="7"/>
    <x v="5"/>
    <s v="Client 1111"/>
    <x v="189"/>
    <m/>
    <x v="188"/>
  </r>
  <r>
    <s v="CS-1131"/>
    <n v="1131"/>
    <x v="0"/>
    <s v="Issue 1112"/>
    <x v="1"/>
    <x v="0"/>
    <x v="0"/>
    <x v="9"/>
    <x v="4"/>
    <s v="Client 1112"/>
    <x v="190"/>
    <m/>
    <x v="192"/>
  </r>
  <r>
    <s v="CS-1132"/>
    <n v="1132"/>
    <x v="0"/>
    <s v="Issue 1113"/>
    <x v="2"/>
    <x v="0"/>
    <x v="0"/>
    <x v="7"/>
    <x v="5"/>
    <s v="Client 1113"/>
    <x v="190"/>
    <m/>
    <x v="188"/>
  </r>
  <r>
    <s v="CS-1133"/>
    <n v="1133"/>
    <x v="0"/>
    <s v="Issue 1114"/>
    <x v="1"/>
    <x v="0"/>
    <x v="0"/>
    <x v="9"/>
    <x v="4"/>
    <s v="Client 1114"/>
    <x v="190"/>
    <m/>
    <x v="185"/>
  </r>
  <r>
    <s v="CS-1134"/>
    <n v="1134"/>
    <x v="0"/>
    <s v="Issue 1115"/>
    <x v="1"/>
    <x v="0"/>
    <x v="0"/>
    <x v="9"/>
    <x v="1"/>
    <s v="Client 1115"/>
    <x v="190"/>
    <m/>
    <x v="193"/>
  </r>
  <r>
    <s v="CS-1135"/>
    <n v="1135"/>
    <x v="0"/>
    <s v="Issue 1116"/>
    <x v="2"/>
    <x v="0"/>
    <x v="0"/>
    <x v="7"/>
    <x v="5"/>
    <s v="Client 1116"/>
    <x v="190"/>
    <m/>
    <x v="188"/>
  </r>
  <r>
    <s v="CS-1136"/>
    <n v="1136"/>
    <x v="0"/>
    <s v="Issue 1117"/>
    <x v="1"/>
    <x v="0"/>
    <x v="0"/>
    <x v="9"/>
    <x v="4"/>
    <s v="Client 1117"/>
    <x v="190"/>
    <m/>
    <x v="180"/>
  </r>
  <r>
    <s v="CS-1137"/>
    <n v="1137"/>
    <x v="0"/>
    <s v="Issue 1118"/>
    <x v="1"/>
    <x v="0"/>
    <x v="0"/>
    <x v="9"/>
    <x v="1"/>
    <s v="Client 1118"/>
    <x v="190"/>
    <m/>
    <x v="170"/>
  </r>
  <r>
    <s v="CS-1138"/>
    <n v="1138"/>
    <x v="0"/>
    <s v="Issue 1119"/>
    <x v="2"/>
    <x v="0"/>
    <x v="0"/>
    <x v="1"/>
    <x v="7"/>
    <s v="Client 1119"/>
    <x v="190"/>
    <m/>
    <x v="195"/>
  </r>
  <r>
    <s v="CS-1139"/>
    <n v="1139"/>
    <x v="0"/>
    <s v="Issue 1120"/>
    <x v="1"/>
    <x v="0"/>
    <x v="0"/>
    <x v="9"/>
    <x v="4"/>
    <s v="Client 1120"/>
    <x v="191"/>
    <m/>
    <x v="180"/>
  </r>
  <r>
    <s v="CS-1140"/>
    <n v="1140"/>
    <x v="0"/>
    <s v="Issue 1121"/>
    <x v="1"/>
    <x v="0"/>
    <x v="0"/>
    <x v="7"/>
    <x v="4"/>
    <s v="Client 1121"/>
    <x v="191"/>
    <m/>
    <x v="185"/>
  </r>
  <r>
    <s v="CS-1141"/>
    <n v="1141"/>
    <x v="0"/>
    <s v="Issue 1122"/>
    <x v="1"/>
    <x v="0"/>
    <x v="0"/>
    <x v="9"/>
    <x v="4"/>
    <s v="Client 1122"/>
    <x v="191"/>
    <m/>
    <x v="194"/>
  </r>
  <r>
    <s v="CS-1142"/>
    <n v="1142"/>
    <x v="0"/>
    <s v="Issue 1123"/>
    <x v="1"/>
    <x v="0"/>
    <x v="0"/>
    <x v="1"/>
    <x v="4"/>
    <s v="Client 1123"/>
    <x v="191"/>
    <m/>
    <x v="196"/>
  </r>
  <r>
    <s v="CS-1143"/>
    <n v="1143"/>
    <x v="0"/>
    <s v="Issue 1124"/>
    <x v="1"/>
    <x v="0"/>
    <x v="0"/>
    <x v="9"/>
    <x v="3"/>
    <s v="Client 1124"/>
    <x v="191"/>
    <m/>
    <x v="192"/>
  </r>
  <r>
    <s v="CS-1144"/>
    <n v="1144"/>
    <x v="0"/>
    <s v="Issue 1125"/>
    <x v="1"/>
    <x v="0"/>
    <x v="0"/>
    <x v="0"/>
    <x v="4"/>
    <s v="Client 1125"/>
    <x v="191"/>
    <m/>
    <x v="139"/>
  </r>
  <r>
    <s v="CS-1145"/>
    <n v="1145"/>
    <x v="0"/>
    <s v="Issue 1126"/>
    <x v="1"/>
    <x v="1"/>
    <x v="0"/>
    <x v="7"/>
    <x v="6"/>
    <s v="Client 1126"/>
    <x v="191"/>
    <m/>
    <x v="1"/>
  </r>
  <r>
    <s v="CS-1146"/>
    <n v="1146"/>
    <x v="0"/>
    <s v="Issue 1127"/>
    <x v="2"/>
    <x v="0"/>
    <x v="0"/>
    <x v="0"/>
    <x v="5"/>
    <s v="Client 1127"/>
    <x v="191"/>
    <m/>
    <x v="180"/>
  </r>
  <r>
    <s v="CS-1147"/>
    <n v="1147"/>
    <x v="0"/>
    <s v="Issue 1128"/>
    <x v="1"/>
    <x v="0"/>
    <x v="0"/>
    <x v="9"/>
    <x v="4"/>
    <s v="Client 1128"/>
    <x v="192"/>
    <m/>
    <x v="180"/>
  </r>
  <r>
    <s v="CS-1148"/>
    <n v="1148"/>
    <x v="0"/>
    <s v="Issue 1129"/>
    <x v="3"/>
    <x v="0"/>
    <x v="0"/>
    <x v="9"/>
    <x v="4"/>
    <s v="Client 1129"/>
    <x v="192"/>
    <m/>
    <x v="194"/>
  </r>
  <r>
    <s v="CS-1149"/>
    <n v="1149"/>
    <x v="0"/>
    <s v="Issue 1130"/>
    <x v="1"/>
    <x v="0"/>
    <x v="0"/>
    <x v="9"/>
    <x v="3"/>
    <s v="Client 1130"/>
    <x v="192"/>
    <m/>
    <x v="170"/>
  </r>
  <r>
    <s v="CS-1150"/>
    <n v="1150"/>
    <x v="0"/>
    <s v="Issue 1131"/>
    <x v="1"/>
    <x v="0"/>
    <x v="0"/>
    <x v="9"/>
    <x v="4"/>
    <s v="Client 1131"/>
    <x v="193"/>
    <m/>
    <x v="185"/>
  </r>
  <r>
    <s v="CS-1151"/>
    <n v="1151"/>
    <x v="0"/>
    <s v="Issue 1132"/>
    <x v="1"/>
    <x v="0"/>
    <x v="0"/>
    <x v="9"/>
    <x v="4"/>
    <s v="Client 1132"/>
    <x v="193"/>
    <m/>
    <x v="180"/>
  </r>
  <r>
    <s v="CS-1152"/>
    <n v="1152"/>
    <x v="0"/>
    <s v="Issue 1133"/>
    <x v="1"/>
    <x v="0"/>
    <x v="0"/>
    <x v="1"/>
    <x v="4"/>
    <s v="Client 1133"/>
    <x v="193"/>
    <m/>
    <x v="196"/>
  </r>
  <r>
    <s v="CS-1153"/>
    <n v="1153"/>
    <x v="0"/>
    <s v="Issue 1134"/>
    <x v="1"/>
    <x v="0"/>
    <x v="0"/>
    <x v="9"/>
    <x v="4"/>
    <s v="Client 1134"/>
    <x v="193"/>
    <m/>
    <x v="194"/>
  </r>
  <r>
    <s v="CS-1154"/>
    <n v="1154"/>
    <x v="0"/>
    <s v="Issue 1135"/>
    <x v="1"/>
    <x v="0"/>
    <x v="0"/>
    <x v="9"/>
    <x v="4"/>
    <s v="Client 1135"/>
    <x v="194"/>
    <m/>
    <x v="194"/>
  </r>
  <r>
    <s v="CS-1155"/>
    <n v="1155"/>
    <x v="0"/>
    <s v="Issue 1136"/>
    <x v="1"/>
    <x v="0"/>
    <x v="0"/>
    <x v="9"/>
    <x v="4"/>
    <s v="Client 1136"/>
    <x v="194"/>
    <m/>
    <x v="194"/>
  </r>
  <r>
    <s v="CS-1156"/>
    <n v="1156"/>
    <x v="0"/>
    <s v="Issue 1137"/>
    <x v="1"/>
    <x v="0"/>
    <x v="0"/>
    <x v="7"/>
    <x v="1"/>
    <s v="Client 1137"/>
    <x v="195"/>
    <m/>
    <x v="180"/>
  </r>
  <r>
    <s v="CS-1157"/>
    <n v="1157"/>
    <x v="0"/>
    <s v="Issue 1138"/>
    <x v="1"/>
    <x v="0"/>
    <x v="0"/>
    <x v="1"/>
    <x v="4"/>
    <s v="Client 1138"/>
    <x v="195"/>
    <m/>
    <x v="174"/>
  </r>
  <r>
    <s v="CS-1158"/>
    <n v="1158"/>
    <x v="0"/>
    <s v="Issue 1139"/>
    <x v="2"/>
    <x v="0"/>
    <x v="0"/>
    <x v="9"/>
    <x v="3"/>
    <s v="Client 1139"/>
    <x v="195"/>
    <m/>
    <x v="170"/>
  </r>
  <r>
    <s v="CS-1159"/>
    <n v="1159"/>
    <x v="0"/>
    <s v="Issue 1140"/>
    <x v="1"/>
    <x v="0"/>
    <x v="0"/>
    <x v="9"/>
    <x v="7"/>
    <s v="Client 1140"/>
    <x v="195"/>
    <m/>
    <x v="194"/>
  </r>
  <r>
    <s v="CS-1160"/>
    <n v="1160"/>
    <x v="0"/>
    <s v="Issue 1141"/>
    <x v="2"/>
    <x v="0"/>
    <x v="0"/>
    <x v="7"/>
    <x v="7"/>
    <s v="Client 1141"/>
    <x v="195"/>
    <m/>
    <x v="180"/>
  </r>
  <r>
    <s v="CS-1161"/>
    <n v="1161"/>
    <x v="0"/>
    <s v="Issue 1142"/>
    <x v="2"/>
    <x v="0"/>
    <x v="0"/>
    <x v="1"/>
    <x v="2"/>
    <s v="Client 1142"/>
    <x v="195"/>
    <m/>
    <x v="189"/>
  </r>
  <r>
    <s v="CS-1162"/>
    <n v="1162"/>
    <x v="0"/>
    <s v="Issue 1143"/>
    <x v="2"/>
    <x v="0"/>
    <x v="0"/>
    <x v="7"/>
    <x v="5"/>
    <s v="Client 1143"/>
    <x v="195"/>
    <m/>
    <x v="170"/>
  </r>
  <r>
    <s v="CS-1163"/>
    <n v="1163"/>
    <x v="0"/>
    <s v="Issue 1144"/>
    <x v="1"/>
    <x v="0"/>
    <x v="0"/>
    <x v="9"/>
    <x v="4"/>
    <s v="Client 1144"/>
    <x v="195"/>
    <m/>
    <x v="185"/>
  </r>
  <r>
    <s v="CS-1164"/>
    <n v="1164"/>
    <x v="0"/>
    <s v="Issue 1145"/>
    <x v="1"/>
    <x v="0"/>
    <x v="0"/>
    <x v="7"/>
    <x v="0"/>
    <s v="Client 1145"/>
    <x v="195"/>
    <m/>
    <x v="189"/>
  </r>
  <r>
    <s v="CS-1165"/>
    <n v="1165"/>
    <x v="0"/>
    <s v="Issue 1146"/>
    <x v="1"/>
    <x v="0"/>
    <x v="0"/>
    <x v="9"/>
    <x v="1"/>
    <s v="Client 1146"/>
    <x v="195"/>
    <m/>
    <x v="180"/>
  </r>
  <r>
    <s v="CS-1166"/>
    <n v="1166"/>
    <x v="0"/>
    <s v="Issue 1147"/>
    <x v="1"/>
    <x v="0"/>
    <x v="0"/>
    <x v="9"/>
    <x v="4"/>
    <s v="Client 1147"/>
    <x v="195"/>
    <m/>
    <x v="180"/>
  </r>
  <r>
    <s v="CS-1167"/>
    <n v="1167"/>
    <x v="1"/>
    <s v="Issue 1148"/>
    <x v="1"/>
    <x v="0"/>
    <x v="0"/>
    <x v="1"/>
    <x v="1"/>
    <s v="Client 1148"/>
    <x v="195"/>
    <m/>
    <x v="197"/>
  </r>
  <r>
    <s v="CS-1168"/>
    <n v="1168"/>
    <x v="1"/>
    <s v="Issue 1149"/>
    <x v="1"/>
    <x v="0"/>
    <x v="0"/>
    <x v="1"/>
    <x v="0"/>
    <s v="Client 1149"/>
    <x v="195"/>
    <m/>
    <x v="170"/>
  </r>
  <r>
    <s v="CS-1169"/>
    <n v="1169"/>
    <x v="0"/>
    <s v="Issue 1150"/>
    <x v="1"/>
    <x v="0"/>
    <x v="0"/>
    <x v="9"/>
    <x v="4"/>
    <s v="Client 1150"/>
    <x v="195"/>
    <m/>
    <x v="170"/>
  </r>
  <r>
    <s v="CS-1170"/>
    <n v="1170"/>
    <x v="0"/>
    <s v="Issue 1151"/>
    <x v="2"/>
    <x v="0"/>
    <x v="0"/>
    <x v="7"/>
    <x v="5"/>
    <s v="Client 1151"/>
    <x v="196"/>
    <m/>
    <x v="180"/>
  </r>
  <r>
    <s v="CS-1171"/>
    <n v="1171"/>
    <x v="0"/>
    <s v="Issue 1152"/>
    <x v="3"/>
    <x v="0"/>
    <x v="0"/>
    <x v="9"/>
    <x v="4"/>
    <s v="Client 1152"/>
    <x v="196"/>
    <m/>
    <x v="180"/>
  </r>
  <r>
    <s v="CS-1172"/>
    <n v="1172"/>
    <x v="0"/>
    <s v="Issue 1153"/>
    <x v="1"/>
    <x v="0"/>
    <x v="0"/>
    <x v="9"/>
    <x v="4"/>
    <s v="Client 1153"/>
    <x v="196"/>
    <m/>
    <x v="194"/>
  </r>
  <r>
    <s v="CS-1173"/>
    <n v="1173"/>
    <x v="0"/>
    <s v="Issue 1154"/>
    <x v="1"/>
    <x v="0"/>
    <x v="0"/>
    <x v="9"/>
    <x v="4"/>
    <s v="Client 1154"/>
    <x v="196"/>
    <m/>
    <x v="170"/>
  </r>
  <r>
    <s v="CS-1174"/>
    <n v="1174"/>
    <x v="0"/>
    <s v="Issue 1155"/>
    <x v="1"/>
    <x v="0"/>
    <x v="0"/>
    <x v="9"/>
    <x v="3"/>
    <s v="Client 1155"/>
    <x v="196"/>
    <m/>
    <x v="194"/>
  </r>
  <r>
    <s v="CS-1175"/>
    <n v="1175"/>
    <x v="0"/>
    <s v="Issue 1156"/>
    <x v="1"/>
    <x v="0"/>
    <x v="0"/>
    <x v="9"/>
    <x v="3"/>
    <s v="Client 1156"/>
    <x v="197"/>
    <m/>
    <x v="189"/>
  </r>
  <r>
    <s v="CS-1176"/>
    <n v="1176"/>
    <x v="0"/>
    <s v="Issue 1157"/>
    <x v="1"/>
    <x v="0"/>
    <x v="0"/>
    <x v="9"/>
    <x v="1"/>
    <s v="Client 1157"/>
    <x v="197"/>
    <m/>
    <x v="170"/>
  </r>
  <r>
    <s v="CS-1177"/>
    <n v="1177"/>
    <x v="0"/>
    <s v="Issue 1158"/>
    <x v="1"/>
    <x v="0"/>
    <x v="0"/>
    <x v="7"/>
    <x v="4"/>
    <s v="Client 1158"/>
    <x v="197"/>
    <m/>
    <x v="1"/>
  </r>
  <r>
    <s v="CS-1178"/>
    <n v="1178"/>
    <x v="0"/>
    <s v="Issue 1159"/>
    <x v="3"/>
    <x v="3"/>
    <x v="1"/>
    <x v="1"/>
    <x v="4"/>
    <s v="Client 1159"/>
    <x v="197"/>
    <m/>
    <x v="1"/>
  </r>
  <r>
    <s v="CS-1179"/>
    <n v="1179"/>
    <x v="0"/>
    <s v="Issue 1160"/>
    <x v="1"/>
    <x v="0"/>
    <x v="0"/>
    <x v="9"/>
    <x v="4"/>
    <s v="Client 1160"/>
    <x v="198"/>
    <m/>
    <x v="180"/>
  </r>
  <r>
    <s v="CS-1180"/>
    <n v="1180"/>
    <x v="0"/>
    <s v="Issue 1161"/>
    <x v="1"/>
    <x v="0"/>
    <x v="0"/>
    <x v="9"/>
    <x v="4"/>
    <s v="Client 1161"/>
    <x v="198"/>
    <m/>
    <x v="193"/>
  </r>
  <r>
    <s v="CS-1181"/>
    <n v="1181"/>
    <x v="0"/>
    <s v="Issue 1162"/>
    <x v="1"/>
    <x v="0"/>
    <x v="0"/>
    <x v="9"/>
    <x v="4"/>
    <s v="Client 1162"/>
    <x v="198"/>
    <m/>
    <x v="170"/>
  </r>
  <r>
    <s v="CS-1182"/>
    <n v="1182"/>
    <x v="0"/>
    <s v="Issue 1163"/>
    <x v="2"/>
    <x v="1"/>
    <x v="0"/>
    <x v="9"/>
    <x v="5"/>
    <s v="Client 1163"/>
    <x v="198"/>
    <m/>
    <x v="1"/>
  </r>
  <r>
    <s v="CS-1183"/>
    <n v="1183"/>
    <x v="0"/>
    <s v="Issue 1164"/>
    <x v="2"/>
    <x v="0"/>
    <x v="0"/>
    <x v="9"/>
    <x v="4"/>
    <s v="Client 1164"/>
    <x v="198"/>
    <m/>
    <x v="193"/>
  </r>
  <r>
    <s v="CS-1184"/>
    <n v="1184"/>
    <x v="0"/>
    <s v="Issue 1165"/>
    <x v="2"/>
    <x v="0"/>
    <x v="0"/>
    <x v="9"/>
    <x v="4"/>
    <s v="Client 1165"/>
    <x v="198"/>
    <m/>
    <x v="180"/>
  </r>
  <r>
    <s v="CS-1185"/>
    <n v="1185"/>
    <x v="0"/>
    <s v="Issue 1166"/>
    <x v="1"/>
    <x v="0"/>
    <x v="0"/>
    <x v="9"/>
    <x v="1"/>
    <s v="Client 1166"/>
    <x v="199"/>
    <m/>
    <x v="191"/>
  </r>
  <r>
    <s v="CS-1186"/>
    <n v="1186"/>
    <x v="0"/>
    <s v="Issue 1167"/>
    <x v="2"/>
    <x v="0"/>
    <x v="0"/>
    <x v="7"/>
    <x v="5"/>
    <s v="Client 1167"/>
    <x v="199"/>
    <m/>
    <x v="180"/>
  </r>
  <r>
    <s v="CS-1187"/>
    <n v="1187"/>
    <x v="1"/>
    <s v="Issue 1168"/>
    <x v="1"/>
    <x v="0"/>
    <x v="0"/>
    <x v="8"/>
    <x v="5"/>
    <s v="Client 1168"/>
    <x v="199"/>
    <m/>
    <x v="191"/>
  </r>
  <r>
    <s v="CS-1188"/>
    <n v="1188"/>
    <x v="1"/>
    <s v="Issue 1169"/>
    <x v="1"/>
    <x v="0"/>
    <x v="0"/>
    <x v="1"/>
    <x v="0"/>
    <s v="Client 1169"/>
    <x v="199"/>
    <m/>
    <x v="198"/>
  </r>
  <r>
    <s v="CS-1189"/>
    <n v="1189"/>
    <x v="0"/>
    <s v="Issue 1170"/>
    <x v="1"/>
    <x v="0"/>
    <x v="0"/>
    <x v="1"/>
    <x v="3"/>
    <s v="Client 1170"/>
    <x v="199"/>
    <m/>
    <x v="139"/>
  </r>
  <r>
    <s v="CS-1190"/>
    <n v="1190"/>
    <x v="0"/>
    <s v="Issue 1171"/>
    <x v="1"/>
    <x v="0"/>
    <x v="0"/>
    <x v="1"/>
    <x v="5"/>
    <s v="Client 1171"/>
    <x v="199"/>
    <m/>
    <x v="199"/>
  </r>
  <r>
    <s v="CS-1191"/>
    <n v="1191"/>
    <x v="0"/>
    <s v="Issue 1172"/>
    <x v="1"/>
    <x v="0"/>
    <x v="0"/>
    <x v="9"/>
    <x v="3"/>
    <s v="Client 1172"/>
    <x v="199"/>
    <m/>
    <x v="170"/>
  </r>
  <r>
    <s v="CS-1192"/>
    <n v="1192"/>
    <x v="0"/>
    <s v="Issue 1173"/>
    <x v="1"/>
    <x v="0"/>
    <x v="0"/>
    <x v="9"/>
    <x v="4"/>
    <s v="Client 1173"/>
    <x v="199"/>
    <m/>
    <x v="200"/>
  </r>
  <r>
    <s v="CS-1193"/>
    <n v="1193"/>
    <x v="1"/>
    <s v="Issue 1174"/>
    <x v="1"/>
    <x v="0"/>
    <x v="0"/>
    <x v="1"/>
    <x v="7"/>
    <s v="Client 1174"/>
    <x v="199"/>
    <m/>
    <x v="139"/>
  </r>
  <r>
    <s v="CS-1194"/>
    <n v="1194"/>
    <x v="0"/>
    <s v="Issue 1175"/>
    <x v="1"/>
    <x v="0"/>
    <x v="0"/>
    <x v="9"/>
    <x v="4"/>
    <s v="Client 1175"/>
    <x v="199"/>
    <m/>
    <x v="191"/>
  </r>
  <r>
    <s v="CS-1195"/>
    <n v="1195"/>
    <x v="0"/>
    <s v="Issue 1176"/>
    <x v="1"/>
    <x v="0"/>
    <x v="0"/>
    <x v="9"/>
    <x v="4"/>
    <s v="Client 1176"/>
    <x v="199"/>
    <m/>
    <x v="170"/>
  </r>
  <r>
    <s v="CS-1196"/>
    <n v="1196"/>
    <x v="0"/>
    <s v="Issue 1177"/>
    <x v="1"/>
    <x v="0"/>
    <x v="0"/>
    <x v="7"/>
    <x v="0"/>
    <s v="Client 1177"/>
    <x v="200"/>
    <m/>
    <x v="139"/>
  </r>
  <r>
    <s v="CS-1197"/>
    <n v="1197"/>
    <x v="0"/>
    <s v="Issue 1178"/>
    <x v="1"/>
    <x v="0"/>
    <x v="0"/>
    <x v="9"/>
    <x v="4"/>
    <s v="Client 1178"/>
    <x v="200"/>
    <m/>
    <x v="139"/>
  </r>
  <r>
    <s v="CS-1198"/>
    <n v="1198"/>
    <x v="0"/>
    <s v="Issue 1179"/>
    <x v="1"/>
    <x v="0"/>
    <x v="0"/>
    <x v="7"/>
    <x v="5"/>
    <s v="Client 1179"/>
    <x v="200"/>
    <m/>
    <x v="139"/>
  </r>
  <r>
    <s v="CS-1199"/>
    <n v="1199"/>
    <x v="0"/>
    <s v="Issue 1180"/>
    <x v="1"/>
    <x v="0"/>
    <x v="0"/>
    <x v="9"/>
    <x v="4"/>
    <s v="Client 1180"/>
    <x v="200"/>
    <m/>
    <x v="196"/>
  </r>
  <r>
    <s v="CS-1200"/>
    <n v="1200"/>
    <x v="0"/>
    <s v="Issue 1181"/>
    <x v="1"/>
    <x v="0"/>
    <x v="0"/>
    <x v="1"/>
    <x v="4"/>
    <s v="Client 1181"/>
    <x v="201"/>
    <m/>
    <x v="196"/>
  </r>
  <r>
    <s v="CS-1201"/>
    <n v="1201"/>
    <x v="0"/>
    <s v="Issue 1182"/>
    <x v="1"/>
    <x v="0"/>
    <x v="0"/>
    <x v="7"/>
    <x v="4"/>
    <s v="Client 1182"/>
    <x v="201"/>
    <m/>
    <x v="191"/>
  </r>
  <r>
    <s v="CS-1202"/>
    <n v="1202"/>
    <x v="0"/>
    <s v="Issue 1183"/>
    <x v="1"/>
    <x v="0"/>
    <x v="0"/>
    <x v="9"/>
    <x v="1"/>
    <s v="Client 1183"/>
    <x v="201"/>
    <m/>
    <x v="200"/>
  </r>
  <r>
    <s v="CS-1203"/>
    <n v="1203"/>
    <x v="0"/>
    <s v="Issue 1184"/>
    <x v="1"/>
    <x v="0"/>
    <x v="0"/>
    <x v="9"/>
    <x v="3"/>
    <s v="Client 1184"/>
    <x v="201"/>
    <m/>
    <x v="201"/>
  </r>
  <r>
    <s v="CS-1204"/>
    <n v="1204"/>
    <x v="0"/>
    <s v="Issue 1185"/>
    <x v="1"/>
    <x v="0"/>
    <x v="0"/>
    <x v="9"/>
    <x v="5"/>
    <s v="Client 1185"/>
    <x v="201"/>
    <m/>
    <x v="200"/>
  </r>
  <r>
    <s v="CS-1205"/>
    <n v="1205"/>
    <x v="1"/>
    <s v="Issue 1186"/>
    <x v="1"/>
    <x v="0"/>
    <x v="0"/>
    <x v="1"/>
    <x v="0"/>
    <s v="Client 1186"/>
    <x v="201"/>
    <m/>
    <x v="195"/>
  </r>
  <r>
    <s v="CS-1206"/>
    <n v="1206"/>
    <x v="0"/>
    <s v="Issue 1187"/>
    <x v="1"/>
    <x v="0"/>
    <x v="0"/>
    <x v="9"/>
    <x v="3"/>
    <s v="Client 1187"/>
    <x v="202"/>
    <m/>
    <x v="202"/>
  </r>
  <r>
    <s v="CS-1207"/>
    <n v="1207"/>
    <x v="0"/>
    <s v="Issue 1188"/>
    <x v="3"/>
    <x v="3"/>
    <x v="1"/>
    <x v="9"/>
    <x v="4"/>
    <s v="Client 1188"/>
    <x v="202"/>
    <m/>
    <x v="1"/>
  </r>
  <r>
    <s v="CS-1208"/>
    <n v="1208"/>
    <x v="0"/>
    <s v="Issue 1189"/>
    <x v="1"/>
    <x v="0"/>
    <x v="0"/>
    <x v="9"/>
    <x v="5"/>
    <s v="Client 1189"/>
    <x v="202"/>
    <m/>
    <x v="200"/>
  </r>
  <r>
    <s v="CS-1209"/>
    <n v="1209"/>
    <x v="0"/>
    <s v="Issue 1190"/>
    <x v="1"/>
    <x v="0"/>
    <x v="0"/>
    <x v="9"/>
    <x v="3"/>
    <s v="Client 1190"/>
    <x v="202"/>
    <m/>
    <x v="185"/>
  </r>
  <r>
    <s v="CS-1210"/>
    <n v="1210"/>
    <x v="0"/>
    <s v="Issue 1191"/>
    <x v="1"/>
    <x v="0"/>
    <x v="0"/>
    <x v="9"/>
    <x v="4"/>
    <s v="Client 1191"/>
    <x v="203"/>
    <m/>
    <x v="139"/>
  </r>
  <r>
    <s v="CS-1211"/>
    <n v="1211"/>
    <x v="0"/>
    <s v="Issue 1192"/>
    <x v="1"/>
    <x v="0"/>
    <x v="0"/>
    <x v="7"/>
    <x v="0"/>
    <s v="Client 1192"/>
    <x v="203"/>
    <m/>
    <x v="185"/>
  </r>
  <r>
    <s v="CS-1212"/>
    <n v="1212"/>
    <x v="0"/>
    <s v="Issue 1193"/>
    <x v="1"/>
    <x v="0"/>
    <x v="0"/>
    <x v="9"/>
    <x v="5"/>
    <s v="Client 1193"/>
    <x v="203"/>
    <m/>
    <x v="200"/>
  </r>
  <r>
    <s v="CS-1213"/>
    <n v="1213"/>
    <x v="0"/>
    <s v="Issue 1194"/>
    <x v="1"/>
    <x v="0"/>
    <x v="0"/>
    <x v="7"/>
    <x v="5"/>
    <s v="Client 1194"/>
    <x v="204"/>
    <m/>
    <x v="139"/>
  </r>
  <r>
    <s v="CS-1214"/>
    <n v="1214"/>
    <x v="0"/>
    <s v="Issue 1195"/>
    <x v="2"/>
    <x v="0"/>
    <x v="0"/>
    <x v="9"/>
    <x v="1"/>
    <s v="Client 1195"/>
    <x v="204"/>
    <m/>
    <x v="198"/>
  </r>
  <r>
    <s v="CS-1215"/>
    <n v="1215"/>
    <x v="0"/>
    <s v="Issue 1196"/>
    <x v="1"/>
    <x v="0"/>
    <x v="0"/>
    <x v="9"/>
    <x v="3"/>
    <s v="Client 1196"/>
    <x v="204"/>
    <m/>
    <x v="139"/>
  </r>
  <r>
    <s v="CS-1216"/>
    <n v="1216"/>
    <x v="0"/>
    <s v="Issue 1197"/>
    <x v="1"/>
    <x v="0"/>
    <x v="0"/>
    <x v="9"/>
    <x v="5"/>
    <s v="Client 1197"/>
    <x v="204"/>
    <m/>
    <x v="197"/>
  </r>
  <r>
    <s v="CS-1217"/>
    <n v="1217"/>
    <x v="0"/>
    <s v="Issue 1198"/>
    <x v="1"/>
    <x v="0"/>
    <x v="0"/>
    <x v="1"/>
    <x v="6"/>
    <s v="Client 1198"/>
    <x v="204"/>
    <m/>
    <x v="196"/>
  </r>
  <r>
    <s v="CS-1218"/>
    <n v="1218"/>
    <x v="0"/>
    <s v="Issue 1199"/>
    <x v="1"/>
    <x v="0"/>
    <x v="0"/>
    <x v="9"/>
    <x v="5"/>
    <s v="Client 1199"/>
    <x v="204"/>
    <m/>
    <x v="139"/>
  </r>
  <r>
    <s v="CS-1219"/>
    <n v="1219"/>
    <x v="0"/>
    <s v="Issue 1200"/>
    <x v="1"/>
    <x v="0"/>
    <x v="0"/>
    <x v="9"/>
    <x v="1"/>
    <s v="Client 1200"/>
    <x v="204"/>
    <m/>
    <x v="197"/>
  </r>
  <r>
    <s v="CS-1220"/>
    <n v="1220"/>
    <x v="0"/>
    <s v="Issue 1201"/>
    <x v="1"/>
    <x v="0"/>
    <x v="0"/>
    <x v="9"/>
    <x v="3"/>
    <s v="Client 1201"/>
    <x v="204"/>
    <m/>
    <x v="139"/>
  </r>
  <r>
    <s v="CS-1221"/>
    <n v="1221"/>
    <x v="1"/>
    <s v="Issue 1202"/>
    <x v="1"/>
    <x v="0"/>
    <x v="0"/>
    <x v="1"/>
    <x v="1"/>
    <s v="Client 1202"/>
    <x v="205"/>
    <m/>
    <x v="203"/>
  </r>
  <r>
    <s v="CS-1222"/>
    <n v="1222"/>
    <x v="1"/>
    <s v="Issue 1203"/>
    <x v="1"/>
    <x v="0"/>
    <x v="0"/>
    <x v="1"/>
    <x v="0"/>
    <s v="Client 1203"/>
    <x v="205"/>
    <m/>
    <x v="203"/>
  </r>
  <r>
    <s v="CS-1223"/>
    <n v="1223"/>
    <x v="1"/>
    <s v="Issue 1204"/>
    <x v="1"/>
    <x v="0"/>
    <x v="0"/>
    <x v="8"/>
    <x v="3"/>
    <s v="Client 1204"/>
    <x v="206"/>
    <m/>
    <x v="196"/>
  </r>
  <r>
    <s v="CS-1224"/>
    <n v="1224"/>
    <x v="0"/>
    <s v="Issue 1205"/>
    <x v="1"/>
    <x v="0"/>
    <x v="0"/>
    <x v="9"/>
    <x v="4"/>
    <s v="Client 1205"/>
    <x v="206"/>
    <m/>
    <x v="196"/>
  </r>
  <r>
    <s v="CS-1225"/>
    <n v="1225"/>
    <x v="0"/>
    <s v="Issue 1206"/>
    <x v="1"/>
    <x v="0"/>
    <x v="0"/>
    <x v="9"/>
    <x v="4"/>
    <s v="Client 1206"/>
    <x v="207"/>
    <m/>
    <x v="204"/>
  </r>
  <r>
    <s v="CS-1226"/>
    <n v="1226"/>
    <x v="0"/>
    <s v="Issue 1207"/>
    <x v="1"/>
    <x v="0"/>
    <x v="0"/>
    <x v="7"/>
    <x v="2"/>
    <s v="Client 1207"/>
    <x v="207"/>
    <m/>
    <x v="196"/>
  </r>
  <r>
    <s v="CS-1227"/>
    <n v="1227"/>
    <x v="0"/>
    <s v="Issue 1208"/>
    <x v="2"/>
    <x v="0"/>
    <x v="0"/>
    <x v="9"/>
    <x v="4"/>
    <s v="Client 1208"/>
    <x v="208"/>
    <m/>
    <x v="205"/>
  </r>
  <r>
    <s v="CS-1228"/>
    <n v="1228"/>
    <x v="1"/>
    <s v="Issue 1209"/>
    <x v="1"/>
    <x v="4"/>
    <x v="1"/>
    <x v="8"/>
    <x v="7"/>
    <s v="Client 1209"/>
    <x v="208"/>
    <m/>
    <x v="1"/>
  </r>
  <r>
    <s v="CS-1229"/>
    <n v="1229"/>
    <x v="0"/>
    <s v="Issue 1210"/>
    <x v="2"/>
    <x v="3"/>
    <x v="1"/>
    <x v="9"/>
    <x v="7"/>
    <s v="Client 1210"/>
    <x v="209"/>
    <m/>
    <x v="1"/>
  </r>
  <r>
    <s v="CS-1230"/>
    <n v="1230"/>
    <x v="0"/>
    <s v="Issue 1211"/>
    <x v="2"/>
    <x v="4"/>
    <x v="1"/>
    <x v="9"/>
    <x v="3"/>
    <s v="Client 1211"/>
    <x v="209"/>
    <m/>
    <x v="1"/>
  </r>
  <r>
    <s v="CS-1231"/>
    <n v="1231"/>
    <x v="0"/>
    <s v="Issue 1212"/>
    <x v="3"/>
    <x v="4"/>
    <x v="1"/>
    <x v="9"/>
    <x v="5"/>
    <s v="Client 1212"/>
    <x v="209"/>
    <m/>
    <x v="1"/>
  </r>
  <r>
    <s v="CS-1232"/>
    <n v="1232"/>
    <x v="0"/>
    <s v="Issue 1213"/>
    <x v="2"/>
    <x v="4"/>
    <x v="1"/>
    <x v="9"/>
    <x v="4"/>
    <s v="Client 1213"/>
    <x v="210"/>
    <m/>
    <x v="1"/>
  </r>
  <r>
    <s v="CS-1233"/>
    <n v="1233"/>
    <x v="0"/>
    <s v="Issue 1214"/>
    <x v="1"/>
    <x v="4"/>
    <x v="1"/>
    <x v="7"/>
    <x v="4"/>
    <s v="Client 1214"/>
    <x v="210"/>
    <m/>
    <x v="1"/>
  </r>
  <r>
    <s v="CS-1234"/>
    <n v="1234"/>
    <x v="0"/>
    <s v="Issue 1215"/>
    <x v="2"/>
    <x v="4"/>
    <x v="1"/>
    <x v="7"/>
    <x v="7"/>
    <s v="Client 1215"/>
    <x v="210"/>
    <m/>
    <x v="1"/>
  </r>
  <r>
    <s v="CS-1235"/>
    <n v="1235"/>
    <x v="0"/>
    <s v="Issue 1216"/>
    <x v="1"/>
    <x v="0"/>
    <x v="0"/>
    <x v="7"/>
    <x v="2"/>
    <s v="Client 1216"/>
    <x v="210"/>
    <m/>
    <x v="201"/>
  </r>
  <r>
    <s v="CS-1236"/>
    <n v="1236"/>
    <x v="0"/>
    <s v="Issue 1217"/>
    <x v="2"/>
    <x v="3"/>
    <x v="1"/>
    <x v="9"/>
    <x v="3"/>
    <s v="Client 1217"/>
    <x v="210"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354437-A393-4FA3-A169-D244410C8A31}" name="PAccountType" cacheId="23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compact="0" compactData="0" multipleFieldFilters="0" chartFormat="24">
  <location ref="A75:B77" firstHeaderRow="1" firstDataRow="1" firstDataCol="1"/>
  <pivotFields count="18">
    <pivotField dataField="1" compact="0" outline="0" showAll="0"/>
    <pivotField compact="0" outline="0" showAll="0"/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>
      <items count="212">
        <item x="0"/>
        <item x="1"/>
        <item x="2"/>
        <item x="4"/>
        <item x="3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4"/>
        <item x="55"/>
        <item x="56"/>
        <item x="57"/>
        <item x="58"/>
        <item x="59"/>
        <item x="75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53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4"/>
        <item x="203"/>
        <item x="205"/>
        <item x="206"/>
        <item x="207"/>
        <item x="208"/>
        <item x="209"/>
        <item x="210"/>
        <item t="default"/>
      </items>
    </pivotField>
    <pivotField compact="0" outline="0" showAll="0"/>
    <pivotField compact="0" outline="0" showAll="0">
      <items count="207">
        <item x="8"/>
        <item x="15"/>
        <item x="18"/>
        <item x="25"/>
        <item x="20"/>
        <item x="5"/>
        <item x="21"/>
        <item x="13"/>
        <item x="31"/>
        <item x="14"/>
        <item x="24"/>
        <item x="36"/>
        <item x="35"/>
        <item x="30"/>
        <item x="0"/>
        <item x="10"/>
        <item x="19"/>
        <item x="12"/>
        <item x="33"/>
        <item x="34"/>
        <item x="37"/>
        <item x="41"/>
        <item x="9"/>
        <item x="4"/>
        <item x="27"/>
        <item x="16"/>
        <item x="45"/>
        <item x="26"/>
        <item x="32"/>
        <item x="7"/>
        <item x="43"/>
        <item x="38"/>
        <item x="11"/>
        <item x="46"/>
        <item x="44"/>
        <item x="49"/>
        <item x="47"/>
        <item x="29"/>
        <item x="50"/>
        <item x="67"/>
        <item x="40"/>
        <item x="51"/>
        <item x="52"/>
        <item x="53"/>
        <item x="3"/>
        <item x="39"/>
        <item x="54"/>
        <item x="57"/>
        <item x="6"/>
        <item x="2"/>
        <item x="71"/>
        <item x="73"/>
        <item x="59"/>
        <item x="60"/>
        <item x="48"/>
        <item x="75"/>
        <item x="22"/>
        <item x="42"/>
        <item x="84"/>
        <item x="78"/>
        <item x="55"/>
        <item x="69"/>
        <item x="61"/>
        <item x="87"/>
        <item x="68"/>
        <item x="89"/>
        <item x="72"/>
        <item x="62"/>
        <item x="86"/>
        <item x="58"/>
        <item x="93"/>
        <item x="81"/>
        <item x="85"/>
        <item x="28"/>
        <item x="66"/>
        <item x="102"/>
        <item x="114"/>
        <item x="108"/>
        <item x="70"/>
        <item x="17"/>
        <item x="88"/>
        <item x="119"/>
        <item x="63"/>
        <item x="117"/>
        <item x="125"/>
        <item x="91"/>
        <item x="113"/>
        <item x="95"/>
        <item x="90"/>
        <item x="122"/>
        <item x="131"/>
        <item x="92"/>
        <item x="74"/>
        <item x="94"/>
        <item x="132"/>
        <item x="133"/>
        <item x="99"/>
        <item x="23"/>
        <item x="111"/>
        <item x="96"/>
        <item x="97"/>
        <item x="121"/>
        <item x="138"/>
        <item x="137"/>
        <item x="127"/>
        <item x="120"/>
        <item x="143"/>
        <item x="141"/>
        <item x="146"/>
        <item x="98"/>
        <item x="136"/>
        <item x="105"/>
        <item x="148"/>
        <item x="135"/>
        <item x="118"/>
        <item x="104"/>
        <item x="83"/>
        <item x="115"/>
        <item x="126"/>
        <item x="152"/>
        <item x="110"/>
        <item x="106"/>
        <item x="79"/>
        <item x="77"/>
        <item x="140"/>
        <item x="76"/>
        <item x="154"/>
        <item x="112"/>
        <item x="65"/>
        <item x="82"/>
        <item x="100"/>
        <item x="56"/>
        <item x="109"/>
        <item x="64"/>
        <item x="155"/>
        <item x="130"/>
        <item x="123"/>
        <item x="145"/>
        <item x="107"/>
        <item x="157"/>
        <item x="153"/>
        <item x="144"/>
        <item x="156"/>
        <item x="142"/>
        <item x="129"/>
        <item x="103"/>
        <item x="80"/>
        <item x="150"/>
        <item x="128"/>
        <item x="161"/>
        <item x="149"/>
        <item x="101"/>
        <item x="159"/>
        <item x="151"/>
        <item x="158"/>
        <item x="163"/>
        <item x="124"/>
        <item x="162"/>
        <item x="147"/>
        <item x="116"/>
        <item x="167"/>
        <item x="166"/>
        <item x="169"/>
        <item x="173"/>
        <item x="175"/>
        <item x="184"/>
        <item x="134"/>
        <item x="172"/>
        <item x="164"/>
        <item x="171"/>
        <item x="174"/>
        <item x="160"/>
        <item x="176"/>
        <item x="178"/>
        <item x="168"/>
        <item x="165"/>
        <item x="181"/>
        <item x="186"/>
        <item x="187"/>
        <item x="182"/>
        <item x="179"/>
        <item x="177"/>
        <item x="190"/>
        <item x="183"/>
        <item x="188"/>
        <item x="192"/>
        <item x="189"/>
        <item x="194"/>
        <item x="193"/>
        <item x="180"/>
        <item x="170"/>
        <item x="195"/>
        <item x="191"/>
        <item x="199"/>
        <item x="185"/>
        <item x="200"/>
        <item x="197"/>
        <item x="198"/>
        <item x="203"/>
        <item x="139"/>
        <item x="1"/>
        <item x="196"/>
        <item x="202"/>
        <item x="204"/>
        <item x="205"/>
        <item x="201"/>
        <item t="default"/>
      </items>
    </pivotField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5">
        <item x="1"/>
        <item x="2"/>
        <item x="3"/>
        <item x="0"/>
        <item t="default"/>
      </items>
    </pivotField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7">
        <item x="1"/>
        <item x="2"/>
        <item x="3"/>
        <item x="4"/>
        <item x="5"/>
        <item x="0"/>
        <item t="default"/>
      </items>
    </pivotField>
    <pivotField compact="0" outline="0" showAll="0">
      <items count="5">
        <item x="1"/>
        <item x="2"/>
        <item x="3"/>
        <item x="0"/>
        <item t="default"/>
      </items>
    </pivotField>
  </pivotFields>
  <rowFields count="1">
    <field x="2"/>
  </rowFields>
  <rowItems count="2">
    <i>
      <x/>
    </i>
    <i>
      <x v="1"/>
    </i>
  </rowItems>
  <colItems count="1">
    <i/>
  </colItems>
  <dataFields count="1">
    <dataField name="Count of Ticket" fld="0" subtotal="count" baseField="0" baseItem="0"/>
  </dataFields>
  <formats count="3">
    <format dxfId="61">
      <pivotArea type="all" dataOnly="0" outline="0" fieldPosition="0"/>
    </format>
    <format dxfId="60">
      <pivotArea outline="0" collapsedLevelsAreSubtotals="1" fieldPosition="0"/>
    </format>
    <format dxfId="59">
      <pivotArea dataOnly="0" labelOnly="1" outline="0" axis="axisValues" fieldPosition="0"/>
    </format>
  </formats>
  <chartFormats count="10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7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3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3" format="14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</chartFormats>
  <pivotTableStyleInfo name="PivotStyleMedium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E5AEA8-7D29-48CC-B646-AB3229717386}" name="PivotTable2" cacheId="23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>
  <location ref="A2:A3" firstHeaderRow="1" firstDataRow="1" firstDataCol="0"/>
  <pivotFields count="18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212">
        <item x="0"/>
        <item x="1"/>
        <item x="2"/>
        <item x="4"/>
        <item x="3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4"/>
        <item x="55"/>
        <item x="56"/>
        <item x="57"/>
        <item x="58"/>
        <item x="59"/>
        <item x="75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53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4"/>
        <item x="203"/>
        <item x="205"/>
        <item x="206"/>
        <item x="207"/>
        <item x="208"/>
        <item x="209"/>
        <item x="210"/>
        <item t="default"/>
      </items>
    </pivotField>
    <pivotField showAll="0"/>
    <pivotField showAll="0">
      <items count="207">
        <item x="8"/>
        <item x="15"/>
        <item x="18"/>
        <item x="25"/>
        <item x="20"/>
        <item x="5"/>
        <item x="21"/>
        <item x="13"/>
        <item x="31"/>
        <item x="14"/>
        <item x="24"/>
        <item x="36"/>
        <item x="35"/>
        <item x="30"/>
        <item x="0"/>
        <item x="10"/>
        <item x="19"/>
        <item x="12"/>
        <item x="33"/>
        <item x="34"/>
        <item x="37"/>
        <item x="41"/>
        <item x="9"/>
        <item x="4"/>
        <item x="27"/>
        <item x="16"/>
        <item x="45"/>
        <item x="26"/>
        <item x="32"/>
        <item x="7"/>
        <item x="43"/>
        <item x="38"/>
        <item x="11"/>
        <item x="46"/>
        <item x="44"/>
        <item x="49"/>
        <item x="47"/>
        <item x="29"/>
        <item x="50"/>
        <item x="67"/>
        <item x="40"/>
        <item x="51"/>
        <item x="52"/>
        <item x="53"/>
        <item x="3"/>
        <item x="39"/>
        <item x="54"/>
        <item x="57"/>
        <item x="6"/>
        <item x="2"/>
        <item x="71"/>
        <item x="73"/>
        <item x="59"/>
        <item x="60"/>
        <item x="48"/>
        <item x="75"/>
        <item x="22"/>
        <item x="42"/>
        <item x="84"/>
        <item x="78"/>
        <item x="55"/>
        <item x="69"/>
        <item x="61"/>
        <item x="87"/>
        <item x="68"/>
        <item x="89"/>
        <item x="72"/>
        <item x="62"/>
        <item x="86"/>
        <item x="58"/>
        <item x="93"/>
        <item x="81"/>
        <item x="85"/>
        <item x="28"/>
        <item x="66"/>
        <item x="102"/>
        <item x="114"/>
        <item x="108"/>
        <item x="70"/>
        <item x="17"/>
        <item x="88"/>
        <item x="119"/>
        <item x="63"/>
        <item x="117"/>
        <item x="125"/>
        <item x="91"/>
        <item x="113"/>
        <item x="95"/>
        <item x="90"/>
        <item x="122"/>
        <item x="131"/>
        <item x="92"/>
        <item x="74"/>
        <item x="94"/>
        <item x="132"/>
        <item x="133"/>
        <item x="99"/>
        <item x="23"/>
        <item x="111"/>
        <item x="96"/>
        <item x="97"/>
        <item x="121"/>
        <item x="138"/>
        <item x="137"/>
        <item x="127"/>
        <item x="120"/>
        <item x="143"/>
        <item x="141"/>
        <item x="146"/>
        <item x="98"/>
        <item x="136"/>
        <item x="105"/>
        <item x="148"/>
        <item x="135"/>
        <item x="118"/>
        <item x="104"/>
        <item x="83"/>
        <item x="115"/>
        <item x="126"/>
        <item x="152"/>
        <item x="110"/>
        <item x="106"/>
        <item x="79"/>
        <item x="77"/>
        <item x="140"/>
        <item x="76"/>
        <item x="154"/>
        <item x="112"/>
        <item x="65"/>
        <item x="82"/>
        <item x="100"/>
        <item x="56"/>
        <item x="109"/>
        <item x="64"/>
        <item x="155"/>
        <item x="130"/>
        <item x="123"/>
        <item x="145"/>
        <item x="107"/>
        <item x="157"/>
        <item x="153"/>
        <item x="144"/>
        <item x="156"/>
        <item x="142"/>
        <item x="129"/>
        <item x="103"/>
        <item x="80"/>
        <item x="150"/>
        <item x="128"/>
        <item x="161"/>
        <item x="149"/>
        <item x="101"/>
        <item x="159"/>
        <item x="151"/>
        <item x="158"/>
        <item x="163"/>
        <item x="124"/>
        <item x="162"/>
        <item x="147"/>
        <item x="116"/>
        <item x="167"/>
        <item x="166"/>
        <item x="169"/>
        <item x="173"/>
        <item x="175"/>
        <item x="184"/>
        <item x="134"/>
        <item x="172"/>
        <item x="164"/>
        <item x="171"/>
        <item x="174"/>
        <item x="160"/>
        <item x="176"/>
        <item x="178"/>
        <item x="168"/>
        <item x="165"/>
        <item x="181"/>
        <item x="186"/>
        <item x="187"/>
        <item x="182"/>
        <item x="179"/>
        <item x="177"/>
        <item x="190"/>
        <item x="183"/>
        <item x="188"/>
        <item x="192"/>
        <item x="189"/>
        <item x="194"/>
        <item x="193"/>
        <item x="180"/>
        <item x="170"/>
        <item x="195"/>
        <item x="191"/>
        <item x="199"/>
        <item x="185"/>
        <item x="200"/>
        <item x="197"/>
        <item x="198"/>
        <item x="203"/>
        <item x="139"/>
        <item x="1"/>
        <item x="196"/>
        <item x="202"/>
        <item x="204"/>
        <item x="205"/>
        <item x="201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5">
        <item x="1"/>
        <item x="2"/>
        <item x="3"/>
        <item x="0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5"/>
        <item x="0"/>
        <item t="default"/>
      </items>
    </pivotField>
    <pivotField showAll="0">
      <items count="5">
        <item x="1"/>
        <item x="2"/>
        <item x="3"/>
        <item x="0"/>
        <item t="default"/>
      </items>
    </pivotField>
  </pivotFields>
  <rowItems count="1">
    <i/>
  </rowItems>
  <colItems count="1">
    <i/>
  </colItems>
  <dataFields count="1">
    <dataField name="Count of Ticket" fld="0" subtotal="count" baseField="0" baseItem="0"/>
  </dataFields>
  <formats count="3">
    <format dxfId="64">
      <pivotArea type="all" dataOnly="0" outline="0" fieldPosition="0"/>
    </format>
    <format dxfId="63">
      <pivotArea outline="0" collapsedLevelsAreSubtotals="1" fieldPosition="0"/>
    </format>
    <format dxfId="62">
      <pivotArea dataOnly="0" labelOnly="1" outline="0" axis="axisValues" fieldPosition="0"/>
    </format>
  </formats>
  <pivotTableStyleInfo name="PivotStyleMedium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55E3F9-5FFE-4706-B502-A94EC7F45E24}" name="ResolvedVsUnresolvedPivot" cacheId="23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compact="0" compactData="0" multipleFieldFilters="0" chartFormat="25">
  <location ref="A105:B107" firstHeaderRow="1" firstDataRow="1" firstDataCol="1"/>
  <pivotFields count="18"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ubtotalTop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211">
        <item x="0"/>
        <item x="1"/>
        <item x="2"/>
        <item x="4"/>
        <item x="3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4"/>
        <item x="55"/>
        <item x="56"/>
        <item x="57"/>
        <item x="58"/>
        <item x="59"/>
        <item x="75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53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4"/>
        <item x="203"/>
        <item x="205"/>
        <item x="206"/>
        <item x="207"/>
        <item x="208"/>
        <item x="209"/>
        <item x="210"/>
      </items>
    </pivotField>
    <pivotField compact="0" outline="0" showAll="0" defaultSubtotal="0"/>
    <pivotField compact="0" outline="0" subtotalTop="0" showAll="0" defaultSubtotal="0">
      <items count="206">
        <item x="8"/>
        <item x="15"/>
        <item x="18"/>
        <item x="25"/>
        <item x="20"/>
        <item x="5"/>
        <item x="21"/>
        <item x="13"/>
        <item x="31"/>
        <item x="14"/>
        <item x="24"/>
        <item x="36"/>
        <item x="35"/>
        <item x="30"/>
        <item x="0"/>
        <item x="10"/>
        <item x="19"/>
        <item x="12"/>
        <item x="33"/>
        <item x="34"/>
        <item x="37"/>
        <item x="41"/>
        <item x="9"/>
        <item x="4"/>
        <item x="27"/>
        <item x="16"/>
        <item x="45"/>
        <item x="26"/>
        <item x="32"/>
        <item x="7"/>
        <item x="43"/>
        <item x="38"/>
        <item x="11"/>
        <item x="46"/>
        <item x="44"/>
        <item x="49"/>
        <item x="47"/>
        <item x="29"/>
        <item x="50"/>
        <item x="67"/>
        <item x="40"/>
        <item x="51"/>
        <item x="52"/>
        <item x="53"/>
        <item x="3"/>
        <item x="39"/>
        <item x="54"/>
        <item x="57"/>
        <item x="6"/>
        <item x="2"/>
        <item x="71"/>
        <item x="73"/>
        <item x="59"/>
        <item x="60"/>
        <item x="48"/>
        <item x="75"/>
        <item x="22"/>
        <item x="42"/>
        <item x="84"/>
        <item x="78"/>
        <item x="55"/>
        <item x="69"/>
        <item x="61"/>
        <item x="87"/>
        <item x="68"/>
        <item x="89"/>
        <item x="72"/>
        <item x="62"/>
        <item x="86"/>
        <item x="58"/>
        <item x="93"/>
        <item x="81"/>
        <item x="85"/>
        <item x="28"/>
        <item x="66"/>
        <item x="102"/>
        <item x="114"/>
        <item x="108"/>
        <item x="70"/>
        <item x="17"/>
        <item x="88"/>
        <item x="119"/>
        <item x="63"/>
        <item x="117"/>
        <item x="125"/>
        <item x="91"/>
        <item x="113"/>
        <item x="95"/>
        <item x="90"/>
        <item x="122"/>
        <item x="131"/>
        <item x="92"/>
        <item x="74"/>
        <item x="94"/>
        <item x="132"/>
        <item x="133"/>
        <item x="99"/>
        <item x="23"/>
        <item x="111"/>
        <item x="96"/>
        <item x="97"/>
        <item x="121"/>
        <item x="138"/>
        <item x="137"/>
        <item x="127"/>
        <item x="120"/>
        <item x="143"/>
        <item x="141"/>
        <item x="146"/>
        <item x="98"/>
        <item x="136"/>
        <item x="105"/>
        <item x="148"/>
        <item x="135"/>
        <item x="118"/>
        <item x="104"/>
        <item x="83"/>
        <item x="115"/>
        <item x="126"/>
        <item x="152"/>
        <item x="110"/>
        <item x="106"/>
        <item x="79"/>
        <item x="77"/>
        <item x="140"/>
        <item x="76"/>
        <item x="154"/>
        <item x="112"/>
        <item x="65"/>
        <item x="82"/>
        <item x="100"/>
        <item x="56"/>
        <item x="109"/>
        <item x="64"/>
        <item x="155"/>
        <item x="130"/>
        <item x="123"/>
        <item x="145"/>
        <item x="107"/>
        <item x="157"/>
        <item x="153"/>
        <item x="144"/>
        <item x="156"/>
        <item x="142"/>
        <item x="129"/>
        <item x="103"/>
        <item x="80"/>
        <item x="150"/>
        <item x="128"/>
        <item x="161"/>
        <item x="149"/>
        <item x="101"/>
        <item x="159"/>
        <item x="151"/>
        <item x="158"/>
        <item x="163"/>
        <item x="124"/>
        <item x="162"/>
        <item x="147"/>
        <item x="116"/>
        <item x="167"/>
        <item x="166"/>
        <item x="169"/>
        <item x="173"/>
        <item x="175"/>
        <item x="184"/>
        <item x="134"/>
        <item x="172"/>
        <item x="164"/>
        <item x="171"/>
        <item x="174"/>
        <item x="160"/>
        <item x="176"/>
        <item x="178"/>
        <item x="168"/>
        <item x="165"/>
        <item x="181"/>
        <item x="186"/>
        <item x="187"/>
        <item x="182"/>
        <item x="179"/>
        <item x="177"/>
        <item x="190"/>
        <item x="183"/>
        <item x="188"/>
        <item x="192"/>
        <item x="189"/>
        <item x="194"/>
        <item x="193"/>
        <item x="180"/>
        <item x="170"/>
        <item x="195"/>
        <item x="191"/>
        <item x="199"/>
        <item x="185"/>
        <item x="200"/>
        <item x="197"/>
        <item x="198"/>
        <item x="203"/>
        <item x="139"/>
        <item x="1"/>
        <item x="196"/>
        <item x="202"/>
        <item x="204"/>
        <item x="205"/>
        <item x="201"/>
      </items>
    </pivotField>
    <pivotField compact="0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howAll="0" defaultSubtotal="0">
      <items count="4">
        <item x="1"/>
        <item x="2"/>
        <item h="1" x="3"/>
        <item h="1" x="0"/>
      </items>
    </pivotField>
    <pivotField compact="0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ubtotalTop="0" showAll="0" defaultSubtotal="0">
      <items count="6">
        <item x="1"/>
        <item x="2"/>
        <item x="3"/>
        <item x="4"/>
        <item x="5"/>
        <item x="0"/>
      </items>
    </pivotField>
    <pivotField compact="0" outline="0" subtotalTop="0" showAll="0" defaultSubtotal="0">
      <items count="4">
        <item x="1"/>
        <item x="2"/>
        <item x="3"/>
        <item x="0"/>
      </items>
    </pivotField>
  </pivotFields>
  <rowFields count="1">
    <field x="6"/>
  </rowFields>
  <rowItems count="2">
    <i>
      <x/>
    </i>
    <i>
      <x v="1"/>
    </i>
  </rowItems>
  <colItems count="1">
    <i/>
  </colItems>
  <dataFields count="1">
    <dataField name="Count of Ticket" fld="0" subtotal="count" baseField="0" baseItem="0"/>
  </dataFields>
  <formats count="4">
    <format dxfId="68">
      <pivotArea type="all" dataOnly="0" outline="0" fieldPosition="0"/>
    </format>
    <format dxfId="67">
      <pivotArea outline="0" collapsedLevelsAreSubtotals="1" fieldPosition="0"/>
    </format>
    <format dxfId="66">
      <pivotArea field="6" type="button" dataOnly="0" labelOnly="1" outline="0" axis="axisRow" fieldPosition="0"/>
    </format>
    <format dxfId="65">
      <pivotArea dataOnly="0" labelOnly="1" outline="0" axis="axisValues" fieldPosition="0"/>
    </format>
  </formats>
  <chartFormats count="5">
    <chartFormat chart="1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24" format="7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Medium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239981-FC8E-4384-B40A-97A5A2289414}" name="PbyCategory" cacheId="23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compact="0" compactData="0" multipleFieldFilters="0" chartFormat="19">
  <location ref="A40:B49" firstHeaderRow="1" firstDataRow="1" firstDataCol="1"/>
  <pivotFields count="18"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ascending">
      <items count="9">
        <item x="5"/>
        <item x="1"/>
        <item x="3"/>
        <item x="6"/>
        <item x="2"/>
        <item x="4"/>
        <item x="0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>
      <items count="212">
        <item x="0"/>
        <item x="1"/>
        <item x="2"/>
        <item x="4"/>
        <item x="3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4"/>
        <item x="55"/>
        <item x="56"/>
        <item x="57"/>
        <item x="58"/>
        <item x="59"/>
        <item x="75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53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4"/>
        <item x="203"/>
        <item x="205"/>
        <item x="206"/>
        <item x="207"/>
        <item x="208"/>
        <item x="209"/>
        <item x="210"/>
        <item t="default"/>
      </items>
    </pivotField>
    <pivotField compact="0" outline="0" showAll="0"/>
    <pivotField compact="0" outline="0" showAll="0">
      <items count="207">
        <item x="8"/>
        <item x="15"/>
        <item x="18"/>
        <item x="25"/>
        <item x="20"/>
        <item x="5"/>
        <item x="21"/>
        <item x="13"/>
        <item x="31"/>
        <item x="14"/>
        <item x="24"/>
        <item x="36"/>
        <item x="35"/>
        <item x="30"/>
        <item x="0"/>
        <item x="10"/>
        <item x="19"/>
        <item x="12"/>
        <item x="33"/>
        <item x="34"/>
        <item x="37"/>
        <item x="41"/>
        <item x="9"/>
        <item x="4"/>
        <item x="27"/>
        <item x="16"/>
        <item x="45"/>
        <item x="26"/>
        <item x="32"/>
        <item x="7"/>
        <item x="43"/>
        <item x="38"/>
        <item x="11"/>
        <item x="46"/>
        <item x="44"/>
        <item x="49"/>
        <item x="47"/>
        <item x="29"/>
        <item x="50"/>
        <item x="67"/>
        <item x="40"/>
        <item x="51"/>
        <item x="52"/>
        <item x="53"/>
        <item x="3"/>
        <item x="39"/>
        <item x="54"/>
        <item x="57"/>
        <item x="6"/>
        <item x="2"/>
        <item x="71"/>
        <item x="73"/>
        <item x="59"/>
        <item x="60"/>
        <item x="48"/>
        <item x="75"/>
        <item x="22"/>
        <item x="42"/>
        <item x="84"/>
        <item x="78"/>
        <item x="55"/>
        <item x="69"/>
        <item x="61"/>
        <item x="87"/>
        <item x="68"/>
        <item x="89"/>
        <item x="72"/>
        <item x="62"/>
        <item x="86"/>
        <item x="58"/>
        <item x="93"/>
        <item x="81"/>
        <item x="85"/>
        <item x="28"/>
        <item x="66"/>
        <item x="102"/>
        <item x="114"/>
        <item x="108"/>
        <item x="70"/>
        <item x="17"/>
        <item x="88"/>
        <item x="119"/>
        <item x="63"/>
        <item x="117"/>
        <item x="125"/>
        <item x="91"/>
        <item x="113"/>
        <item x="95"/>
        <item x="90"/>
        <item x="122"/>
        <item x="131"/>
        <item x="92"/>
        <item x="74"/>
        <item x="94"/>
        <item x="132"/>
        <item x="133"/>
        <item x="99"/>
        <item x="23"/>
        <item x="111"/>
        <item x="96"/>
        <item x="97"/>
        <item x="121"/>
        <item x="138"/>
        <item x="137"/>
        <item x="127"/>
        <item x="120"/>
        <item x="143"/>
        <item x="141"/>
        <item x="146"/>
        <item x="98"/>
        <item x="136"/>
        <item x="105"/>
        <item x="148"/>
        <item x="135"/>
        <item x="118"/>
        <item x="104"/>
        <item x="83"/>
        <item x="115"/>
        <item x="126"/>
        <item x="152"/>
        <item x="110"/>
        <item x="106"/>
        <item x="79"/>
        <item x="77"/>
        <item x="140"/>
        <item x="76"/>
        <item x="154"/>
        <item x="112"/>
        <item x="65"/>
        <item x="82"/>
        <item x="100"/>
        <item x="56"/>
        <item x="109"/>
        <item x="64"/>
        <item x="155"/>
        <item x="130"/>
        <item x="123"/>
        <item x="145"/>
        <item x="107"/>
        <item x="157"/>
        <item x="153"/>
        <item x="144"/>
        <item x="156"/>
        <item x="142"/>
        <item x="129"/>
        <item x="103"/>
        <item x="80"/>
        <item x="150"/>
        <item x="128"/>
        <item x="161"/>
        <item x="149"/>
        <item x="101"/>
        <item x="159"/>
        <item x="151"/>
        <item x="158"/>
        <item x="163"/>
        <item x="124"/>
        <item x="162"/>
        <item x="147"/>
        <item x="116"/>
        <item x="167"/>
        <item x="166"/>
        <item x="169"/>
        <item x="173"/>
        <item x="175"/>
        <item x="184"/>
        <item x="134"/>
        <item x="172"/>
        <item x="164"/>
        <item x="171"/>
        <item x="174"/>
        <item x="160"/>
        <item x="176"/>
        <item x="178"/>
        <item x="168"/>
        <item x="165"/>
        <item x="181"/>
        <item x="186"/>
        <item x="187"/>
        <item x="182"/>
        <item x="179"/>
        <item x="177"/>
        <item x="190"/>
        <item x="183"/>
        <item x="188"/>
        <item x="192"/>
        <item x="189"/>
        <item x="194"/>
        <item x="193"/>
        <item x="180"/>
        <item x="170"/>
        <item x="195"/>
        <item x="191"/>
        <item x="199"/>
        <item x="185"/>
        <item x="200"/>
        <item x="197"/>
        <item x="198"/>
        <item x="203"/>
        <item x="139"/>
        <item x="1"/>
        <item x="196"/>
        <item x="202"/>
        <item x="204"/>
        <item x="205"/>
        <item x="201"/>
        <item t="default"/>
      </items>
    </pivotField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5">
        <item x="1"/>
        <item x="2"/>
        <item x="3"/>
        <item x="0"/>
        <item t="default"/>
      </items>
    </pivotField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7">
        <item x="1"/>
        <item x="2"/>
        <item x="3"/>
        <item x="4"/>
        <item x="5"/>
        <item x="0"/>
        <item t="default"/>
      </items>
    </pivotField>
    <pivotField compact="0" outline="0" showAll="0">
      <items count="5">
        <item x="1"/>
        <item x="2"/>
        <item x="3"/>
        <item x="0"/>
        <item t="default"/>
      </items>
    </pivotField>
  </pivotFields>
  <rowFields count="1">
    <field x="8"/>
  </rowFields>
  <rowItems count="9">
    <i>
      <x v="4"/>
    </i>
    <i>
      <x v="7"/>
    </i>
    <i>
      <x v="3"/>
    </i>
    <i>
      <x v="6"/>
    </i>
    <i>
      <x v="1"/>
    </i>
    <i>
      <x/>
    </i>
    <i>
      <x v="5"/>
    </i>
    <i>
      <x v="2"/>
    </i>
    <i t="grand">
      <x/>
    </i>
  </rowItems>
  <colItems count="1">
    <i/>
  </colItems>
  <dataFields count="1">
    <dataField name="Count of Ticket" fld="0" subtotal="count" baseField="0" baseItem="0"/>
  </dataFields>
  <formats count="6">
    <format dxfId="74">
      <pivotArea type="all" dataOnly="0" outline="0" fieldPosition="0"/>
    </format>
    <format dxfId="73">
      <pivotArea outline="0" collapsedLevelsAreSubtotals="1" fieldPosition="0"/>
    </format>
    <format dxfId="72">
      <pivotArea field="8" type="button" dataOnly="0" labelOnly="1" outline="0" axis="axisRow" fieldPosition="0"/>
    </format>
    <format dxfId="71">
      <pivotArea dataOnly="0" labelOnly="1" outline="0" fieldPosition="0">
        <references count="1">
          <reference field="8" count="0"/>
        </references>
      </pivotArea>
    </format>
    <format dxfId="70">
      <pivotArea dataOnly="0" labelOnly="1" grandRow="1" outline="0" fieldPosition="0"/>
    </format>
    <format dxfId="69">
      <pivotArea dataOnly="0" labelOnly="1" outline="0" axis="axisValues" fieldPosition="0"/>
    </format>
  </formats>
  <chartFormats count="17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3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16" format="4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16" format="5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16" format="6">
      <pivotArea type="data" outline="0" fieldPosition="0">
        <references count="2">
          <reference field="4294967294" count="1" selected="0">
            <x v="0"/>
          </reference>
          <reference field="8" count="1" selected="0">
            <x v="6"/>
          </reference>
        </references>
      </pivotArea>
    </chartFormat>
    <chartFormat chart="16" format="7">
      <pivotArea type="data" outline="0" fieldPosition="0">
        <references count="2">
          <reference field="4294967294" count="1" selected="0">
            <x v="0"/>
          </reference>
          <reference field="8" count="1" selected="0">
            <x v="7"/>
          </reference>
        </references>
      </pivotArea>
    </chartFormat>
    <chartFormat chart="16" format="8">
      <pivotArea type="data" outline="0" fieldPosition="0">
        <references count="2">
          <reference field="4294967294" count="1" selected="0">
            <x v="0"/>
          </reference>
          <reference field="8" count="1" selected="0">
            <x v="4"/>
          </reference>
        </references>
      </pivotArea>
    </chartFormat>
    <chartFormat chart="16" format="9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18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11">
      <pivotArea type="data" outline="0" fieldPosition="0">
        <references count="2">
          <reference field="4294967294" count="1" selected="0">
            <x v="0"/>
          </reference>
          <reference field="8" count="1" selected="0">
            <x v="4"/>
          </reference>
        </references>
      </pivotArea>
    </chartFormat>
    <chartFormat chart="18" format="12">
      <pivotArea type="data" outline="0" fieldPosition="0">
        <references count="2">
          <reference field="4294967294" count="1" selected="0">
            <x v="0"/>
          </reference>
          <reference field="8" count="1" selected="0">
            <x v="7"/>
          </reference>
        </references>
      </pivotArea>
    </chartFormat>
    <chartFormat chart="18" format="13">
      <pivotArea type="data" outline="0" fieldPosition="0">
        <references count="2">
          <reference field="4294967294" count="1" selected="0">
            <x v="0"/>
          </reference>
          <reference field="8" count="1" selected="0">
            <x v="6"/>
          </reference>
        </references>
      </pivotArea>
    </chartFormat>
    <chartFormat chart="18" format="14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18" format="15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</chartFormats>
  <pivotTableStyleInfo name="PivotStyleMedium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CA97A4-168A-4BD2-A328-923A2778F595}" name="DateResolvedPivot" cacheId="23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12">
  <location ref="B130:C146" firstHeaderRow="1" firstDataRow="1" firstDataCol="1"/>
  <pivotFields count="18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212">
        <item x="0"/>
        <item x="1"/>
        <item x="2"/>
        <item x="4"/>
        <item x="3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4"/>
        <item x="55"/>
        <item x="56"/>
        <item x="57"/>
        <item x="58"/>
        <item x="59"/>
        <item x="75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5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4"/>
        <item x="203"/>
        <item x="205"/>
        <item x="206"/>
        <item x="207"/>
        <item x="208"/>
        <item x="209"/>
        <item x="210"/>
        <item t="default"/>
      </items>
    </pivotField>
    <pivotField showAll="0"/>
    <pivotField axis="axisRow" showAll="0">
      <items count="207">
        <item x="8"/>
        <item x="15"/>
        <item x="18"/>
        <item x="25"/>
        <item x="20"/>
        <item x="5"/>
        <item x="21"/>
        <item x="13"/>
        <item x="31"/>
        <item x="14"/>
        <item x="24"/>
        <item x="36"/>
        <item x="35"/>
        <item x="30"/>
        <item x="0"/>
        <item x="10"/>
        <item x="19"/>
        <item x="12"/>
        <item x="33"/>
        <item x="34"/>
        <item x="37"/>
        <item x="41"/>
        <item x="9"/>
        <item x="4"/>
        <item x="27"/>
        <item x="16"/>
        <item x="45"/>
        <item x="26"/>
        <item x="32"/>
        <item x="7"/>
        <item x="43"/>
        <item x="38"/>
        <item x="11"/>
        <item x="46"/>
        <item x="44"/>
        <item x="49"/>
        <item x="47"/>
        <item x="29"/>
        <item x="50"/>
        <item x="67"/>
        <item x="40"/>
        <item x="51"/>
        <item x="52"/>
        <item x="53"/>
        <item x="3"/>
        <item x="39"/>
        <item x="54"/>
        <item x="57"/>
        <item x="6"/>
        <item x="2"/>
        <item x="71"/>
        <item x="73"/>
        <item x="59"/>
        <item x="60"/>
        <item x="48"/>
        <item x="75"/>
        <item x="22"/>
        <item x="42"/>
        <item x="84"/>
        <item x="78"/>
        <item x="55"/>
        <item x="69"/>
        <item x="61"/>
        <item x="87"/>
        <item x="68"/>
        <item x="89"/>
        <item x="72"/>
        <item x="62"/>
        <item x="86"/>
        <item x="58"/>
        <item x="93"/>
        <item x="81"/>
        <item x="85"/>
        <item x="28"/>
        <item x="66"/>
        <item x="102"/>
        <item x="114"/>
        <item x="108"/>
        <item x="70"/>
        <item x="17"/>
        <item x="88"/>
        <item x="119"/>
        <item x="63"/>
        <item x="117"/>
        <item x="125"/>
        <item x="91"/>
        <item x="113"/>
        <item x="95"/>
        <item x="90"/>
        <item x="122"/>
        <item x="131"/>
        <item x="92"/>
        <item x="74"/>
        <item x="94"/>
        <item x="132"/>
        <item x="133"/>
        <item x="99"/>
        <item x="23"/>
        <item x="111"/>
        <item x="96"/>
        <item x="97"/>
        <item x="121"/>
        <item x="138"/>
        <item x="137"/>
        <item x="127"/>
        <item x="120"/>
        <item x="143"/>
        <item x="141"/>
        <item x="146"/>
        <item x="98"/>
        <item x="136"/>
        <item x="105"/>
        <item x="148"/>
        <item x="135"/>
        <item x="118"/>
        <item x="104"/>
        <item x="83"/>
        <item x="115"/>
        <item x="126"/>
        <item x="152"/>
        <item x="110"/>
        <item x="106"/>
        <item x="79"/>
        <item x="77"/>
        <item x="140"/>
        <item x="76"/>
        <item x="154"/>
        <item x="112"/>
        <item x="65"/>
        <item x="82"/>
        <item x="100"/>
        <item x="56"/>
        <item x="109"/>
        <item x="64"/>
        <item x="155"/>
        <item x="130"/>
        <item x="123"/>
        <item x="145"/>
        <item x="107"/>
        <item x="157"/>
        <item x="153"/>
        <item x="144"/>
        <item x="156"/>
        <item x="142"/>
        <item x="129"/>
        <item x="103"/>
        <item x="80"/>
        <item x="150"/>
        <item x="128"/>
        <item x="161"/>
        <item x="149"/>
        <item x="101"/>
        <item x="159"/>
        <item x="151"/>
        <item x="158"/>
        <item x="163"/>
        <item x="124"/>
        <item x="162"/>
        <item x="147"/>
        <item x="116"/>
        <item x="167"/>
        <item x="166"/>
        <item x="169"/>
        <item x="173"/>
        <item x="175"/>
        <item x="184"/>
        <item x="134"/>
        <item x="172"/>
        <item x="164"/>
        <item x="171"/>
        <item x="174"/>
        <item x="160"/>
        <item x="176"/>
        <item x="178"/>
        <item x="168"/>
        <item x="165"/>
        <item x="181"/>
        <item x="186"/>
        <item x="187"/>
        <item x="182"/>
        <item x="179"/>
        <item x="177"/>
        <item x="190"/>
        <item x="183"/>
        <item x="188"/>
        <item x="192"/>
        <item x="189"/>
        <item x="194"/>
        <item x="193"/>
        <item x="180"/>
        <item x="170"/>
        <item x="195"/>
        <item x="191"/>
        <item x="199"/>
        <item x="185"/>
        <item x="200"/>
        <item x="197"/>
        <item x="198"/>
        <item x="203"/>
        <item x="139"/>
        <item x="1"/>
        <item x="196"/>
        <item x="202"/>
        <item x="204"/>
        <item x="205"/>
        <item x="201"/>
        <item t="default"/>
      </items>
    </pivotField>
    <pivotField showAll="0" defaultSubtotal="0"/>
    <pivotField showAll="0" defaultSubtotal="0">
      <items count="4">
        <item x="1"/>
        <item x="2"/>
        <item x="3"/>
        <item x="0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h="1" sd="0" x="13"/>
        <item t="default"/>
      </items>
    </pivotField>
    <pivotField showAll="0">
      <items count="7">
        <item sd="0" x="1"/>
        <item sd="0" x="2"/>
        <item sd="0" x="3"/>
        <item sd="0" x="4"/>
        <item x="5"/>
        <item x="0"/>
        <item t="default"/>
      </items>
    </pivotField>
    <pivotField axis="axisRow" showAll="0">
      <items count="5">
        <item x="1"/>
        <item x="2"/>
        <item x="3"/>
        <item x="0"/>
        <item t="default"/>
      </items>
    </pivotField>
  </pivotFields>
  <rowFields count="3">
    <field x="17"/>
    <field x="15"/>
    <field x="12"/>
  </rowFields>
  <rowItems count="16">
    <i>
      <x/>
    </i>
    <i r="1">
      <x v="9"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</i>
    <i r="1">
      <x/>
    </i>
    <i t="grand">
      <x/>
    </i>
  </rowItems>
  <colItems count="1">
    <i/>
  </colItems>
  <dataFields count="1">
    <dataField name="Count of Ticket" fld="0" subtotal="count" baseField="0" baseItem="0"/>
  </dataFields>
  <chartFormats count="3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A417A-4BC3-4DED-8552-EB88B1DAB68D}" name="PResolvedAssignedTickets" cacheId="23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compact="0" compactData="0" multipleFieldFilters="0" chartFormat="24">
  <location ref="A60:B65" firstHeaderRow="1" firstDataRow="1" firstDataCol="1" rowPageCount="1" colPageCount="1"/>
  <pivotFields count="18"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6">
        <item x="3"/>
        <item x="4"/>
        <item x="1"/>
        <item x="0"/>
        <item x="2"/>
        <item t="default"/>
      </items>
    </pivotField>
    <pivotField axis="axisPage" compact="0" outline="0" multipleItemSelectionAllowed="1" showAll="0">
      <items count="3">
        <item x="0"/>
        <item h="1" x="1"/>
        <item t="default"/>
      </items>
    </pivotField>
    <pivotField axis="axisRow" compact="0" outline="0" showAll="0">
      <items count="11">
        <item x="7"/>
        <item h="1" x="2"/>
        <item h="1" x="3"/>
        <item h="1" x="4"/>
        <item x="0"/>
        <item x="1"/>
        <item h="1" x="5"/>
        <item h="1" x="6"/>
        <item x="8"/>
        <item x="9"/>
        <item t="default"/>
      </items>
    </pivotField>
    <pivotField compact="0" outline="0"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>
      <items count="212">
        <item x="0"/>
        <item x="1"/>
        <item x="2"/>
        <item x="4"/>
        <item x="3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4"/>
        <item x="55"/>
        <item x="56"/>
        <item x="57"/>
        <item x="58"/>
        <item x="59"/>
        <item x="75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53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4"/>
        <item x="203"/>
        <item x="205"/>
        <item x="206"/>
        <item x="207"/>
        <item x="208"/>
        <item x="209"/>
        <item x="210"/>
        <item t="default"/>
      </items>
    </pivotField>
    <pivotField compact="0" outline="0" showAll="0"/>
    <pivotField compact="0" outline="0" showAll="0">
      <items count="207">
        <item x="8"/>
        <item x="15"/>
        <item x="18"/>
        <item x="25"/>
        <item x="20"/>
        <item x="5"/>
        <item x="21"/>
        <item x="13"/>
        <item x="31"/>
        <item x="14"/>
        <item x="24"/>
        <item x="36"/>
        <item x="35"/>
        <item x="30"/>
        <item x="0"/>
        <item x="10"/>
        <item x="19"/>
        <item x="12"/>
        <item x="33"/>
        <item x="34"/>
        <item x="37"/>
        <item x="41"/>
        <item x="9"/>
        <item x="4"/>
        <item x="27"/>
        <item x="16"/>
        <item x="45"/>
        <item x="26"/>
        <item x="32"/>
        <item x="7"/>
        <item x="43"/>
        <item x="38"/>
        <item x="11"/>
        <item x="46"/>
        <item x="44"/>
        <item x="49"/>
        <item x="47"/>
        <item x="29"/>
        <item x="50"/>
        <item x="67"/>
        <item x="40"/>
        <item x="51"/>
        <item x="52"/>
        <item x="53"/>
        <item x="3"/>
        <item x="39"/>
        <item x="54"/>
        <item x="57"/>
        <item x="6"/>
        <item x="2"/>
        <item x="71"/>
        <item x="73"/>
        <item x="59"/>
        <item x="60"/>
        <item x="48"/>
        <item x="75"/>
        <item x="22"/>
        <item x="42"/>
        <item x="84"/>
        <item x="78"/>
        <item x="55"/>
        <item x="69"/>
        <item x="61"/>
        <item x="87"/>
        <item x="68"/>
        <item x="89"/>
        <item x="72"/>
        <item x="62"/>
        <item x="86"/>
        <item x="58"/>
        <item x="93"/>
        <item x="81"/>
        <item x="85"/>
        <item x="28"/>
        <item x="66"/>
        <item x="102"/>
        <item x="114"/>
        <item x="108"/>
        <item x="70"/>
        <item x="17"/>
        <item x="88"/>
        <item x="119"/>
        <item x="63"/>
        <item x="117"/>
        <item x="125"/>
        <item x="91"/>
        <item x="113"/>
        <item x="95"/>
        <item x="90"/>
        <item x="122"/>
        <item x="131"/>
        <item x="92"/>
        <item x="74"/>
        <item x="94"/>
        <item x="132"/>
        <item x="133"/>
        <item x="99"/>
        <item x="23"/>
        <item x="111"/>
        <item x="96"/>
        <item x="97"/>
        <item x="121"/>
        <item x="138"/>
        <item x="137"/>
        <item x="127"/>
        <item x="120"/>
        <item x="143"/>
        <item x="141"/>
        <item x="146"/>
        <item x="98"/>
        <item x="136"/>
        <item x="105"/>
        <item x="148"/>
        <item x="135"/>
        <item x="118"/>
        <item x="104"/>
        <item x="83"/>
        <item x="115"/>
        <item x="126"/>
        <item x="152"/>
        <item x="110"/>
        <item x="106"/>
        <item x="79"/>
        <item x="77"/>
        <item x="140"/>
        <item x="76"/>
        <item x="154"/>
        <item x="112"/>
        <item x="65"/>
        <item x="82"/>
        <item x="100"/>
        <item x="56"/>
        <item x="109"/>
        <item x="64"/>
        <item x="155"/>
        <item x="130"/>
        <item x="123"/>
        <item x="145"/>
        <item x="107"/>
        <item x="157"/>
        <item x="153"/>
        <item x="144"/>
        <item x="156"/>
        <item x="142"/>
        <item x="129"/>
        <item x="103"/>
        <item x="80"/>
        <item x="150"/>
        <item x="128"/>
        <item x="161"/>
        <item x="149"/>
        <item x="101"/>
        <item x="159"/>
        <item x="151"/>
        <item x="158"/>
        <item x="163"/>
        <item x="124"/>
        <item x="162"/>
        <item x="147"/>
        <item x="116"/>
        <item x="167"/>
        <item x="166"/>
        <item x="169"/>
        <item x="173"/>
        <item x="175"/>
        <item x="184"/>
        <item x="134"/>
        <item x="172"/>
        <item x="164"/>
        <item x="171"/>
        <item x="174"/>
        <item x="160"/>
        <item x="176"/>
        <item x="178"/>
        <item x="168"/>
        <item x="165"/>
        <item x="181"/>
        <item x="186"/>
        <item x="187"/>
        <item x="182"/>
        <item x="179"/>
        <item x="177"/>
        <item x="190"/>
        <item x="183"/>
        <item x="188"/>
        <item x="192"/>
        <item x="189"/>
        <item x="194"/>
        <item x="193"/>
        <item x="180"/>
        <item x="170"/>
        <item x="195"/>
        <item x="191"/>
        <item x="199"/>
        <item x="185"/>
        <item x="200"/>
        <item x="197"/>
        <item x="198"/>
        <item x="203"/>
        <item x="139"/>
        <item x="1"/>
        <item x="196"/>
        <item x="202"/>
        <item x="204"/>
        <item x="205"/>
        <item x="201"/>
        <item t="default"/>
      </items>
    </pivotField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5">
        <item x="1"/>
        <item x="2"/>
        <item x="3"/>
        <item x="0"/>
        <item t="default"/>
      </items>
    </pivotField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7">
        <item x="1"/>
        <item x="2"/>
        <item x="3"/>
        <item x="4"/>
        <item x="5"/>
        <item x="0"/>
        <item t="default"/>
      </items>
    </pivotField>
    <pivotField compact="0" outline="0" showAll="0">
      <items count="5">
        <item x="1"/>
        <item x="2"/>
        <item x="3"/>
        <item x="0"/>
        <item t="default"/>
      </items>
    </pivotField>
  </pivotFields>
  <rowFields count="1">
    <field x="7"/>
  </rowFields>
  <rowItems count="5">
    <i>
      <x/>
    </i>
    <i>
      <x v="4"/>
    </i>
    <i>
      <x v="5"/>
    </i>
    <i>
      <x v="8"/>
    </i>
    <i>
      <x v="9"/>
    </i>
  </rowItems>
  <colItems count="1">
    <i/>
  </colItems>
  <pageFields count="1">
    <pageField fld="6" hier="-1"/>
  </pageFields>
  <dataFields count="1">
    <dataField name="Count of Ticket" fld="0" subtotal="count" baseField="0" baseItem="0"/>
  </dataFields>
  <formats count="5">
    <format dxfId="79">
      <pivotArea type="all" dataOnly="0" outline="0" fieldPosition="0"/>
    </format>
    <format dxfId="78">
      <pivotArea outline="0" collapsedLevelsAreSubtotals="1" fieldPosition="0"/>
    </format>
    <format dxfId="77">
      <pivotArea type="origin" dataOnly="0" labelOnly="1" outline="0" fieldPosition="0"/>
    </format>
    <format dxfId="76">
      <pivotArea field="5" type="button" dataOnly="0" labelOnly="1" outline="0"/>
    </format>
    <format dxfId="75">
      <pivotArea field="7" type="button" dataOnly="0" labelOnly="1" outline="0" axis="axisRow" fieldPosition="0"/>
    </format>
  </formats>
  <chartFormats count="21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3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35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20" format="34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7" format="29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20" format="38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20" format="39">
      <pivotArea type="data" outline="0" fieldPosition="0">
        <references count="2">
          <reference field="4294967294" count="1" selected="0">
            <x v="0"/>
          </reference>
          <reference field="7" count="1" selected="0">
            <x v="5"/>
          </reference>
        </references>
      </pivotArea>
    </chartFormat>
    <chartFormat chart="20" format="40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20" format="41">
      <pivotArea type="data" outline="0" fieldPosition="0">
        <references count="2">
          <reference field="4294967294" count="1" selected="0">
            <x v="0"/>
          </reference>
          <reference field="7" count="1" selected="0">
            <x v="9"/>
          </reference>
        </references>
      </pivotArea>
    </chartFormat>
    <chartFormat chart="23" format="39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23" format="40">
      <pivotArea type="data" outline="0" fieldPosition="0">
        <references count="2">
          <reference field="4294967294" count="1" selected="0">
            <x v="0"/>
          </reference>
          <reference field="7" count="1" selected="0">
            <x v="5"/>
          </reference>
        </references>
      </pivotArea>
    </chartFormat>
    <chartFormat chart="23" format="4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23" format="42">
      <pivotArea type="data" outline="0" fieldPosition="0">
        <references count="2">
          <reference field="4294967294" count="1" selected="0">
            <x v="0"/>
          </reference>
          <reference field="7" count="1" selected="0">
            <x v="9"/>
          </reference>
        </references>
      </pivotArea>
    </chartFormat>
    <chartFormat chart="17" format="33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17" format="34">
      <pivotArea type="data" outline="0" fieldPosition="0">
        <references count="2">
          <reference field="4294967294" count="1" selected="0">
            <x v="0"/>
          </reference>
          <reference field="7" count="1" selected="0">
            <x v="5"/>
          </reference>
        </references>
      </pivotArea>
    </chartFormat>
    <chartFormat chart="17" format="35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17" format="36">
      <pivotArea type="data" outline="0" fieldPosition="0">
        <references count="2">
          <reference field="4294967294" count="1" selected="0">
            <x v="0"/>
          </reference>
          <reference field="7" count="1" selected="0">
            <x v="9"/>
          </reference>
        </references>
      </pivotArea>
    </chartFormat>
  </chartFormats>
  <pivotTableStyleInfo name="PivotStyleMedium21" showRowHeaders="1" showColHeaders="1" showRowStripes="0" showColStripes="0" showLastColumn="1"/>
  <filters count="1">
    <filter fld="10" type="dateBetween" evalOrder="-1" id="21" name="Date Created">
      <autoFilter ref="A1">
        <filterColumn colId="0">
          <customFilters and="1">
            <customFilter operator="greaterThanOrEqual" val="46082"/>
            <customFilter operator="lessThanOrEqual" val="4611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2C390C-3678-4C6B-9941-167CD54AE23E}" name="PbyStatus" cacheId="23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compact="0" compactData="0" multipleFieldFilters="0" chartFormat="14">
  <location ref="A24:B29" firstHeaderRow="1" firstDataRow="1" firstDataCol="1"/>
  <pivotFields count="18"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descending">
      <items count="6">
        <item x="3"/>
        <item x="4"/>
        <item x="1"/>
        <item h="1" x="0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212">
        <item x="0"/>
        <item x="1"/>
        <item x="2"/>
        <item x="4"/>
        <item x="3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4"/>
        <item x="55"/>
        <item x="56"/>
        <item x="57"/>
        <item x="58"/>
        <item x="59"/>
        <item x="75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53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4"/>
        <item x="203"/>
        <item x="205"/>
        <item x="206"/>
        <item x="207"/>
        <item x="208"/>
        <item x="209"/>
        <item x="210"/>
        <item t="default"/>
      </items>
    </pivotField>
    <pivotField compact="0" outline="0" showAll="0"/>
    <pivotField compact="0" outline="0" showAll="0">
      <items count="207">
        <item x="8"/>
        <item x="15"/>
        <item x="18"/>
        <item x="25"/>
        <item x="20"/>
        <item x="5"/>
        <item x="21"/>
        <item x="13"/>
        <item x="31"/>
        <item x="14"/>
        <item x="24"/>
        <item x="36"/>
        <item x="35"/>
        <item x="30"/>
        <item x="0"/>
        <item x="10"/>
        <item x="19"/>
        <item x="12"/>
        <item x="33"/>
        <item x="34"/>
        <item x="37"/>
        <item x="41"/>
        <item x="9"/>
        <item x="4"/>
        <item x="27"/>
        <item x="16"/>
        <item x="45"/>
        <item x="26"/>
        <item x="32"/>
        <item x="7"/>
        <item x="43"/>
        <item x="38"/>
        <item x="11"/>
        <item x="46"/>
        <item x="44"/>
        <item x="49"/>
        <item x="47"/>
        <item x="29"/>
        <item x="50"/>
        <item x="67"/>
        <item x="40"/>
        <item x="51"/>
        <item x="52"/>
        <item x="53"/>
        <item x="3"/>
        <item x="39"/>
        <item x="54"/>
        <item x="57"/>
        <item x="6"/>
        <item x="2"/>
        <item x="71"/>
        <item x="73"/>
        <item x="59"/>
        <item x="60"/>
        <item x="48"/>
        <item x="75"/>
        <item x="22"/>
        <item x="42"/>
        <item x="84"/>
        <item x="78"/>
        <item x="55"/>
        <item x="69"/>
        <item x="61"/>
        <item x="87"/>
        <item x="68"/>
        <item x="89"/>
        <item x="72"/>
        <item x="62"/>
        <item x="86"/>
        <item x="58"/>
        <item x="93"/>
        <item x="81"/>
        <item x="85"/>
        <item x="28"/>
        <item x="66"/>
        <item x="102"/>
        <item x="114"/>
        <item x="108"/>
        <item x="70"/>
        <item x="17"/>
        <item x="88"/>
        <item x="119"/>
        <item x="63"/>
        <item x="117"/>
        <item x="125"/>
        <item x="91"/>
        <item x="113"/>
        <item x="95"/>
        <item x="90"/>
        <item x="122"/>
        <item x="131"/>
        <item x="92"/>
        <item x="74"/>
        <item x="94"/>
        <item x="132"/>
        <item x="133"/>
        <item x="99"/>
        <item x="23"/>
        <item x="111"/>
        <item x="96"/>
        <item x="97"/>
        <item x="121"/>
        <item x="138"/>
        <item x="137"/>
        <item x="127"/>
        <item x="120"/>
        <item x="143"/>
        <item x="141"/>
        <item x="146"/>
        <item x="98"/>
        <item x="136"/>
        <item x="105"/>
        <item x="148"/>
        <item x="135"/>
        <item x="118"/>
        <item x="104"/>
        <item x="83"/>
        <item x="115"/>
        <item x="126"/>
        <item x="152"/>
        <item x="110"/>
        <item x="106"/>
        <item x="79"/>
        <item x="77"/>
        <item x="140"/>
        <item x="76"/>
        <item x="154"/>
        <item x="112"/>
        <item x="65"/>
        <item x="82"/>
        <item x="100"/>
        <item x="56"/>
        <item x="109"/>
        <item x="64"/>
        <item x="155"/>
        <item x="130"/>
        <item x="123"/>
        <item x="145"/>
        <item x="107"/>
        <item x="157"/>
        <item x="153"/>
        <item x="144"/>
        <item x="156"/>
        <item x="142"/>
        <item x="129"/>
        <item x="103"/>
        <item x="80"/>
        <item x="150"/>
        <item x="128"/>
        <item x="161"/>
        <item x="149"/>
        <item x="101"/>
        <item x="159"/>
        <item x="151"/>
        <item x="158"/>
        <item x="163"/>
        <item x="124"/>
        <item x="162"/>
        <item x="147"/>
        <item x="116"/>
        <item x="167"/>
        <item x="166"/>
        <item x="169"/>
        <item x="173"/>
        <item x="175"/>
        <item x="184"/>
        <item x="134"/>
        <item x="172"/>
        <item x="164"/>
        <item x="171"/>
        <item x="174"/>
        <item x="160"/>
        <item x="176"/>
        <item x="178"/>
        <item x="168"/>
        <item x="165"/>
        <item x="181"/>
        <item x="186"/>
        <item x="187"/>
        <item x="182"/>
        <item x="179"/>
        <item x="177"/>
        <item x="190"/>
        <item x="183"/>
        <item x="188"/>
        <item x="192"/>
        <item x="189"/>
        <item x="194"/>
        <item x="193"/>
        <item x="180"/>
        <item x="170"/>
        <item x="195"/>
        <item x="191"/>
        <item x="199"/>
        <item x="185"/>
        <item x="200"/>
        <item x="197"/>
        <item x="198"/>
        <item x="203"/>
        <item x="139"/>
        <item x="1"/>
        <item x="196"/>
        <item x="202"/>
        <item x="204"/>
        <item x="205"/>
        <item x="201"/>
        <item t="default"/>
      </items>
    </pivotField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5">
        <item x="1"/>
        <item x="2"/>
        <item x="3"/>
        <item x="0"/>
        <item t="default"/>
      </items>
    </pivotField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7">
        <item x="1"/>
        <item x="2"/>
        <item x="3"/>
        <item x="4"/>
        <item x="5"/>
        <item x="0"/>
        <item t="default"/>
      </items>
    </pivotField>
    <pivotField compact="0" outline="0" showAll="0">
      <items count="5">
        <item x="1"/>
        <item x="2"/>
        <item x="3"/>
        <item x="0"/>
        <item t="default"/>
      </items>
    </pivotField>
  </pivotFields>
  <rowFields count="1">
    <field x="5"/>
  </rowFields>
  <rowItems count="5">
    <i>
      <x v="2"/>
    </i>
    <i>
      <x v="1"/>
    </i>
    <i>
      <x v="4"/>
    </i>
    <i>
      <x/>
    </i>
    <i t="grand">
      <x/>
    </i>
  </rowItems>
  <colItems count="1">
    <i/>
  </colItems>
  <dataFields count="1">
    <dataField name="Count of Ticket" fld="0" subtotal="count" baseField="0" baseItem="0"/>
  </dataFields>
  <formats count="6">
    <format dxfId="85">
      <pivotArea type="all" dataOnly="0" outline="0" fieldPosition="0"/>
    </format>
    <format dxfId="84">
      <pivotArea outline="0" collapsedLevelsAreSubtotals="1" fieldPosition="0"/>
    </format>
    <format dxfId="83">
      <pivotArea field="5" type="button" dataOnly="0" labelOnly="1" outline="0" axis="axisRow" fieldPosition="0"/>
    </format>
    <format dxfId="82">
      <pivotArea dataOnly="0" labelOnly="1" outline="0" fieldPosition="0">
        <references count="1">
          <reference field="5" count="0"/>
        </references>
      </pivotArea>
    </format>
    <format dxfId="81">
      <pivotArea dataOnly="0" labelOnly="1" grandRow="1" outline="0" fieldPosition="0"/>
    </format>
    <format dxfId="80">
      <pivotArea dataOnly="0" labelOnly="1" outline="0" axis="axisValues" fieldPosition="0"/>
    </format>
  </formats>
  <chartFormats count="13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3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0" format="4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0" format="5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0" format="7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10" format="9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3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2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3" format="13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3" format="14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13" format="15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Medium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25BB5D-9308-41E8-BCC6-72BA36AA2F91}" name="PivotTable1" cacheId="23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compact="0" compactData="0" multipleFieldFilters="0" chartFormat="24">
  <location ref="A8:B12" firstHeaderRow="1" firstDataRow="1" firstDataCol="1" rowPageCount="1" colPageCount="1"/>
  <pivotFields count="18">
    <pivotField dataField="1"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5">
        <item x="3"/>
        <item x="2"/>
        <item x="1"/>
        <item h="1" x="0"/>
        <item t="default"/>
      </items>
    </pivotField>
    <pivotField axis="axisPage" compact="0" outline="0" multipleItemSelectionAllowed="1" showAll="0">
      <items count="6">
        <item x="3"/>
        <item x="4"/>
        <item h="1" x="1"/>
        <item h="1" x="0"/>
        <item x="2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212">
        <item x="0"/>
        <item x="1"/>
        <item x="2"/>
        <item x="4"/>
        <item x="3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4"/>
        <item x="55"/>
        <item x="56"/>
        <item x="57"/>
        <item x="58"/>
        <item x="59"/>
        <item x="75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53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4"/>
        <item x="203"/>
        <item x="205"/>
        <item x="206"/>
        <item x="207"/>
        <item x="208"/>
        <item x="209"/>
        <item x="210"/>
        <item t="default"/>
      </items>
    </pivotField>
    <pivotField compact="0" outline="0" showAll="0"/>
    <pivotField compact="0" outline="0" showAll="0">
      <items count="207">
        <item x="8"/>
        <item x="15"/>
        <item x="18"/>
        <item x="25"/>
        <item x="20"/>
        <item x="5"/>
        <item x="21"/>
        <item x="13"/>
        <item x="31"/>
        <item x="14"/>
        <item x="24"/>
        <item x="36"/>
        <item x="35"/>
        <item x="30"/>
        <item x="0"/>
        <item x="10"/>
        <item x="19"/>
        <item x="12"/>
        <item x="33"/>
        <item x="34"/>
        <item x="37"/>
        <item x="41"/>
        <item x="9"/>
        <item x="4"/>
        <item x="27"/>
        <item x="16"/>
        <item x="45"/>
        <item x="26"/>
        <item x="32"/>
        <item x="7"/>
        <item x="43"/>
        <item x="38"/>
        <item x="11"/>
        <item x="46"/>
        <item x="44"/>
        <item x="49"/>
        <item x="47"/>
        <item x="29"/>
        <item x="50"/>
        <item x="67"/>
        <item x="40"/>
        <item x="51"/>
        <item x="52"/>
        <item x="53"/>
        <item x="3"/>
        <item x="39"/>
        <item x="54"/>
        <item x="57"/>
        <item x="6"/>
        <item x="2"/>
        <item x="71"/>
        <item x="73"/>
        <item x="59"/>
        <item x="60"/>
        <item x="48"/>
        <item x="75"/>
        <item x="22"/>
        <item x="42"/>
        <item x="84"/>
        <item x="78"/>
        <item x="55"/>
        <item x="69"/>
        <item x="61"/>
        <item x="87"/>
        <item x="68"/>
        <item x="89"/>
        <item x="72"/>
        <item x="62"/>
        <item x="86"/>
        <item x="58"/>
        <item x="93"/>
        <item x="81"/>
        <item x="85"/>
        <item x="28"/>
        <item x="66"/>
        <item x="102"/>
        <item x="114"/>
        <item x="108"/>
        <item x="70"/>
        <item x="17"/>
        <item x="88"/>
        <item x="119"/>
        <item x="63"/>
        <item x="117"/>
        <item x="125"/>
        <item x="91"/>
        <item x="113"/>
        <item x="95"/>
        <item x="90"/>
        <item x="122"/>
        <item x="131"/>
        <item x="92"/>
        <item x="74"/>
        <item x="94"/>
        <item x="132"/>
        <item x="133"/>
        <item x="99"/>
        <item x="23"/>
        <item x="111"/>
        <item x="96"/>
        <item x="97"/>
        <item x="121"/>
        <item x="138"/>
        <item x="137"/>
        <item x="127"/>
        <item x="120"/>
        <item x="143"/>
        <item x="141"/>
        <item x="146"/>
        <item x="98"/>
        <item x="136"/>
        <item x="105"/>
        <item x="148"/>
        <item x="135"/>
        <item x="118"/>
        <item x="104"/>
        <item x="83"/>
        <item x="115"/>
        <item x="126"/>
        <item x="152"/>
        <item x="110"/>
        <item x="106"/>
        <item x="79"/>
        <item x="77"/>
        <item x="140"/>
        <item x="76"/>
        <item x="154"/>
        <item x="112"/>
        <item x="65"/>
        <item x="82"/>
        <item x="100"/>
        <item x="56"/>
        <item x="109"/>
        <item x="64"/>
        <item x="155"/>
        <item x="130"/>
        <item x="123"/>
        <item x="145"/>
        <item x="107"/>
        <item x="157"/>
        <item x="153"/>
        <item x="144"/>
        <item x="156"/>
        <item x="142"/>
        <item x="129"/>
        <item x="103"/>
        <item x="80"/>
        <item x="150"/>
        <item x="128"/>
        <item x="161"/>
        <item x="149"/>
        <item x="101"/>
        <item x="159"/>
        <item x="151"/>
        <item x="158"/>
        <item x="163"/>
        <item x="124"/>
        <item x="162"/>
        <item x="147"/>
        <item x="116"/>
        <item x="167"/>
        <item x="166"/>
        <item x="169"/>
        <item x="173"/>
        <item x="175"/>
        <item x="184"/>
        <item x="134"/>
        <item x="172"/>
        <item x="164"/>
        <item x="171"/>
        <item x="174"/>
        <item x="160"/>
        <item x="176"/>
        <item x="178"/>
        <item x="168"/>
        <item x="165"/>
        <item x="181"/>
        <item x="186"/>
        <item x="187"/>
        <item x="182"/>
        <item x="179"/>
        <item x="177"/>
        <item x="190"/>
        <item x="183"/>
        <item x="188"/>
        <item x="192"/>
        <item x="189"/>
        <item x="194"/>
        <item x="193"/>
        <item x="180"/>
        <item x="170"/>
        <item x="195"/>
        <item x="191"/>
        <item x="199"/>
        <item x="185"/>
        <item x="200"/>
        <item x="197"/>
        <item x="198"/>
        <item x="203"/>
        <item x="139"/>
        <item x="1"/>
        <item x="196"/>
        <item x="202"/>
        <item x="204"/>
        <item x="205"/>
        <item x="201"/>
        <item t="default"/>
      </items>
    </pivotField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5">
        <item x="1"/>
        <item x="2"/>
        <item x="3"/>
        <item x="0"/>
        <item t="default"/>
      </items>
    </pivotField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7">
        <item x="1"/>
        <item x="2"/>
        <item x="3"/>
        <item x="4"/>
        <item x="5"/>
        <item x="0"/>
        <item t="default"/>
      </items>
    </pivotField>
    <pivotField compact="0" outline="0" showAll="0">
      <items count="5">
        <item x="1"/>
        <item x="2"/>
        <item x="3"/>
        <item x="0"/>
        <item t="default"/>
      </items>
    </pivotField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5" hier="-1"/>
  </pageFields>
  <dataFields count="1">
    <dataField name="Count of Ticket" fld="0" subtotal="count" baseField="0" baseItem="0"/>
  </dataFields>
  <formats count="6">
    <format dxfId="91">
      <pivotArea type="all" dataOnly="0" outline="0" fieldPosition="0"/>
    </format>
    <format dxfId="90">
      <pivotArea outline="0" collapsedLevelsAreSubtotals="1" fieldPosition="0"/>
    </format>
    <format dxfId="89">
      <pivotArea field="4" type="button" dataOnly="0" labelOnly="1" outline="0" axis="axisRow" fieldPosition="0"/>
    </format>
    <format dxfId="88">
      <pivotArea dataOnly="0" labelOnly="1" outline="0" fieldPosition="0">
        <references count="1">
          <reference field="4" count="0"/>
        </references>
      </pivotArea>
    </format>
    <format dxfId="87">
      <pivotArea dataOnly="0" labelOnly="1" grandRow="1" outline="0" fieldPosition="0"/>
    </format>
    <format dxfId="86">
      <pivotArea dataOnly="0" labelOnly="1" outline="0" axis="axisValues" fieldPosition="0"/>
    </format>
  </formats>
  <chartFormats count="9">
    <chartFormat chart="1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3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2" format="4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2" format="5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7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3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3" format="9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</chartFormats>
  <pivotTableStyleInfo name="PivotStyleMedium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1CBF35-91AC-4ACA-A109-32F5E28563A6}" name="PTicketsCreatedTime" cacheId="23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compact="0" compactData="0" multipleFieldFilters="0" chartFormat="20">
  <location ref="A89:C104" firstHeaderRow="1" firstDataRow="1" firstDataCol="2"/>
  <pivotFields count="18"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211">
        <item x="0"/>
        <item x="1"/>
        <item x="2"/>
        <item x="4"/>
        <item x="3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4"/>
        <item x="55"/>
        <item x="56"/>
        <item x="57"/>
        <item x="58"/>
        <item x="59"/>
        <item x="75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53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4"/>
        <item x="203"/>
        <item x="205"/>
        <item x="206"/>
        <item x="207"/>
        <item x="208"/>
        <item x="209"/>
        <item x="210"/>
      </items>
    </pivotField>
    <pivotField compact="0" outline="0" showAll="0" defaultSubtotal="0"/>
    <pivotField compact="0" outline="0" subtotalTop="0" showAll="0" defaultSubtotal="0">
      <items count="206">
        <item x="8"/>
        <item x="15"/>
        <item x="18"/>
        <item x="25"/>
        <item x="20"/>
        <item x="5"/>
        <item x="21"/>
        <item x="13"/>
        <item x="31"/>
        <item x="14"/>
        <item x="24"/>
        <item x="36"/>
        <item x="35"/>
        <item x="30"/>
        <item x="0"/>
        <item x="10"/>
        <item x="19"/>
        <item x="12"/>
        <item x="33"/>
        <item x="34"/>
        <item x="37"/>
        <item x="41"/>
        <item x="9"/>
        <item x="4"/>
        <item x="27"/>
        <item x="16"/>
        <item x="45"/>
        <item x="26"/>
        <item x="32"/>
        <item x="7"/>
        <item x="43"/>
        <item x="38"/>
        <item x="11"/>
        <item x="46"/>
        <item x="44"/>
        <item x="49"/>
        <item x="47"/>
        <item x="29"/>
        <item x="50"/>
        <item x="67"/>
        <item x="40"/>
        <item x="51"/>
        <item x="52"/>
        <item x="53"/>
        <item x="3"/>
        <item x="39"/>
        <item x="54"/>
        <item x="57"/>
        <item x="6"/>
        <item x="2"/>
        <item x="71"/>
        <item x="73"/>
        <item x="59"/>
        <item x="60"/>
        <item x="48"/>
        <item x="75"/>
        <item x="22"/>
        <item x="42"/>
        <item x="84"/>
        <item x="78"/>
        <item x="55"/>
        <item x="69"/>
        <item x="61"/>
        <item x="87"/>
        <item x="68"/>
        <item x="89"/>
        <item x="72"/>
        <item x="62"/>
        <item x="86"/>
        <item x="58"/>
        <item x="93"/>
        <item x="81"/>
        <item x="85"/>
        <item x="28"/>
        <item x="66"/>
        <item x="102"/>
        <item x="114"/>
        <item x="108"/>
        <item x="70"/>
        <item x="17"/>
        <item x="88"/>
        <item x="119"/>
        <item x="63"/>
        <item x="117"/>
        <item x="125"/>
        <item x="91"/>
        <item x="113"/>
        <item x="95"/>
        <item x="90"/>
        <item x="122"/>
        <item x="131"/>
        <item x="92"/>
        <item x="74"/>
        <item x="94"/>
        <item x="132"/>
        <item x="133"/>
        <item x="99"/>
        <item x="23"/>
        <item x="111"/>
        <item x="96"/>
        <item x="97"/>
        <item x="121"/>
        <item x="138"/>
        <item x="137"/>
        <item x="127"/>
        <item x="120"/>
        <item x="143"/>
        <item x="141"/>
        <item x="146"/>
        <item x="98"/>
        <item x="136"/>
        <item x="105"/>
        <item x="148"/>
        <item x="135"/>
        <item x="118"/>
        <item x="104"/>
        <item x="83"/>
        <item x="115"/>
        <item x="126"/>
        <item x="152"/>
        <item x="110"/>
        <item x="106"/>
        <item x="79"/>
        <item x="77"/>
        <item x="140"/>
        <item x="76"/>
        <item x="154"/>
        <item x="112"/>
        <item x="65"/>
        <item x="82"/>
        <item x="100"/>
        <item x="56"/>
        <item x="109"/>
        <item x="64"/>
        <item x="155"/>
        <item x="130"/>
        <item x="123"/>
        <item x="145"/>
        <item x="107"/>
        <item x="157"/>
        <item x="153"/>
        <item x="144"/>
        <item x="156"/>
        <item x="142"/>
        <item x="129"/>
        <item x="103"/>
        <item x="80"/>
        <item x="150"/>
        <item x="128"/>
        <item x="161"/>
        <item x="149"/>
        <item x="101"/>
        <item x="159"/>
        <item x="151"/>
        <item x="158"/>
        <item x="163"/>
        <item x="124"/>
        <item x="162"/>
        <item x="147"/>
        <item x="116"/>
        <item x="167"/>
        <item x="166"/>
        <item x="169"/>
        <item x="173"/>
        <item x="175"/>
        <item x="184"/>
        <item x="134"/>
        <item x="172"/>
        <item x="164"/>
        <item x="171"/>
        <item x="174"/>
        <item x="160"/>
        <item x="176"/>
        <item x="178"/>
        <item x="168"/>
        <item x="165"/>
        <item x="181"/>
        <item x="186"/>
        <item x="187"/>
        <item x="182"/>
        <item x="179"/>
        <item x="177"/>
        <item x="190"/>
        <item x="183"/>
        <item x="188"/>
        <item x="192"/>
        <item x="189"/>
        <item x="194"/>
        <item x="193"/>
        <item x="180"/>
        <item x="170"/>
        <item x="195"/>
        <item x="191"/>
        <item x="199"/>
        <item x="185"/>
        <item x="200"/>
        <item x="197"/>
        <item x="198"/>
        <item x="203"/>
        <item x="139"/>
        <item x="1"/>
        <item x="196"/>
        <item x="202"/>
        <item x="204"/>
        <item x="205"/>
        <item x="201"/>
      </items>
    </pivotField>
    <pivotField axis="axisRow" compact="0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Row" compact="0" outline="0" showAll="0" defaultSubtotal="0">
      <items count="4">
        <item x="1"/>
        <item x="2"/>
        <item h="1" x="3"/>
        <item h="1" x="0"/>
      </items>
    </pivotField>
    <pivotField compact="0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ubtotalTop="0" showAll="0" defaultSubtotal="0">
      <items count="6">
        <item x="1"/>
        <item x="2"/>
        <item x="3"/>
        <item x="4"/>
        <item x="5"/>
        <item x="0"/>
      </items>
    </pivotField>
    <pivotField compact="0" outline="0" subtotalTop="0" showAll="0" defaultSubtotal="0">
      <items count="4">
        <item x="1"/>
        <item x="2"/>
        <item x="3"/>
        <item x="0"/>
      </items>
    </pivotField>
  </pivotFields>
  <rowFields count="2">
    <field x="14"/>
    <field x="13"/>
  </rowFields>
  <rowItems count="15">
    <i>
      <x/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Items count="1">
    <i/>
  </colItems>
  <dataFields count="1">
    <dataField name="Count of Ticket" fld="0" subtotal="count" baseField="0" baseItem="0"/>
  </dataFields>
  <formats count="8">
    <format dxfId="99">
      <pivotArea type="all" dataOnly="0" outline="0" fieldPosition="0"/>
    </format>
    <format dxfId="98">
      <pivotArea outline="0" collapsedLevelsAreSubtotals="1" fieldPosition="0"/>
    </format>
    <format dxfId="97">
      <pivotArea field="14" type="button" dataOnly="0" labelOnly="1" outline="0" axis="axisRow" fieldPosition="0"/>
    </format>
    <format dxfId="96">
      <pivotArea field="13" type="button" dataOnly="0" labelOnly="1" outline="0" axis="axisRow" fieldPosition="1"/>
    </format>
    <format dxfId="95">
      <pivotArea dataOnly="0" labelOnly="1" outline="0" fieldPosition="0">
        <references count="1">
          <reference field="14" count="2">
            <x v="0"/>
            <x v="1"/>
          </reference>
        </references>
      </pivotArea>
    </format>
    <format dxfId="94">
      <pivotArea dataOnly="0" labelOnly="1" outline="0" fieldPosition="0">
        <references count="2">
          <reference field="13" count="8">
            <x v="5"/>
            <x v="6"/>
            <x v="7"/>
            <x v="8"/>
            <x v="9"/>
            <x v="10"/>
            <x v="11"/>
            <x v="12"/>
          </reference>
          <reference field="14" count="1" selected="0">
            <x v="0"/>
          </reference>
        </references>
      </pivotArea>
    </format>
    <format dxfId="93">
      <pivotArea dataOnly="0" labelOnly="1" outline="0" fieldPosition="0">
        <references count="2">
          <reference field="13" count="1">
            <x v="1"/>
          </reference>
          <reference field="14" count="1" selected="0">
            <x v="1"/>
          </reference>
        </references>
      </pivotArea>
    </format>
    <format dxfId="92">
      <pivotArea dataOnly="0" labelOnly="1" outline="0" axis="axisValues" fieldPosition="0"/>
    </format>
  </formats>
  <chartFormats count="3"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A62F2A1-6610-412D-9432-351C18EB9874}" name="CustomerTable" displayName="CustomerTable" ref="A5:M974" totalsRowShown="0" headerRowDxfId="114" dataDxfId="113">
  <autoFilter ref="A5:M974" xr:uid="{8A62F2A1-6610-412D-9432-351C18EB9874}"/>
  <sortState xmlns:xlrd2="http://schemas.microsoft.com/office/spreadsheetml/2017/richdata2" ref="A6:M974">
    <sortCondition ref="B5:B958"/>
  </sortState>
  <tableColumns count="13">
    <tableColumn id="1" xr3:uid="{6EA7167B-4EFF-42D0-85A9-AD5BF462B685}" name="Ticket" dataDxfId="112"/>
    <tableColumn id="2" xr3:uid="{3D250032-C85D-47B3-A00B-82A340CD1172}" name="Sort Column" dataDxfId="111">
      <calculatedColumnFormula>VALUE(REPLACE(CustomerTable[[#This Row],[Ticket]],1,3,""))</calculatedColumnFormula>
    </tableColumn>
    <tableColumn id="4" xr3:uid="{C0CE35F8-52B9-42AD-B104-9A591E99DFE6}" name="Account Type" dataDxfId="110"/>
    <tableColumn id="3" xr3:uid="{07958CCF-F346-46DF-86AE-4D65D9D63301}" name="Issue_Summary" dataDxfId="109"/>
    <tableColumn id="5" xr3:uid="{1DCB4E85-409E-490A-9A87-9C5182174182}" name="Priority" dataDxfId="108"/>
    <tableColumn id="6" xr3:uid="{9B764D0D-5255-4303-8CBC-324992881BA4}" name="Status" dataDxfId="107"/>
    <tableColumn id="10" xr3:uid="{8AAFE9D9-F489-4EE6-A8C2-0B64590A9B7A}" name="Resolution" dataDxfId="106">
      <calculatedColumnFormula>IF(CustomerTable[[#This Row],[Status]]="RESOLVED","Done",IF(CustomerTable[[#This Row],[Status]]="CLOSED","DONE",IF(CustomerTable[[#This Row],[Status]]="DEFERRED","Done","Pending")))</calculatedColumnFormula>
    </tableColumn>
    <tableColumn id="12" xr3:uid="{CD281E82-72A9-4191-8E2B-593C2DAE9097}" name="Assigned" dataDxfId="105"/>
    <tableColumn id="7" xr3:uid="{0242A231-908C-4437-B461-1531524221B7}" name="Category" dataDxfId="104"/>
    <tableColumn id="8" xr3:uid="{B2776552-2505-4052-9756-3CF1C52040C5}" name="User Name" dataDxfId="103"/>
    <tableColumn id="9" xr3:uid="{F496AAC9-B497-444C-8FA3-A169CA315623}" name="Date Created" dataDxfId="102"/>
    <tableColumn id="11" xr3:uid="{F01E1A76-581A-4F18-9136-3D19E3DAAF7B}" name="Comments" dataDxfId="101"/>
    <tableColumn id="16" xr3:uid="{05CD0877-6AD8-4569-BB9B-C9CD21FC77C0}" name="Date Resolved" dataDxfId="100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9911082-459B-45D0-B9EF-92E7FFBF84B5}" name="Table1" displayName="Table1" ref="D1:D12" totalsRowShown="0" dataDxfId="58">
  <autoFilter ref="D1:D12" xr:uid="{B9911082-459B-45D0-B9EF-92E7FFBF84B5}"/>
  <tableColumns count="1">
    <tableColumn id="1" xr3:uid="{CCE0065F-6D73-405E-B050-D1BECC642FAD}" name="Column1" dataDxfId="5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_Created" xr10:uid="{3DE42514-DFCA-4BA7-B54A-093C05EBE06E}" sourceName="Date Created">
  <pivotTables>
    <pivotTable tabId="9" name="PAccountType"/>
    <pivotTable tabId="9" name="PivotTable1"/>
    <pivotTable tabId="9" name="PivotTable2"/>
    <pivotTable tabId="9" name="PbyStatus"/>
    <pivotTable tabId="9" name="PbyCategory"/>
    <pivotTable tabId="9" name="PTicketsCreatedTime"/>
    <pivotTable tabId="9" name="ResolvedVsUnresolvedPivot"/>
  </pivotTables>
  <state minimalRefreshVersion="6" lastRefreshVersion="6" pivotCacheId="1530585179" filterType="unknown">
    <bounds startDate="2025-01-01T00:00:00" endDate="2027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_Resolved" xr10:uid="{0B36C296-531A-45F5-800F-6927B3445B9D}" sourceName="Date Resolved">
  <pivotTables>
    <pivotTable tabId="9" name="DateResolvedPivot"/>
  </pivotTables>
  <state minimalRefreshVersion="6" lastRefreshVersion="6" pivotCacheId="1530585179" filterType="unknown">
    <bounds startDate="2025-01-01T00:00:00" endDate="2027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Created 1" xr10:uid="{14970F68-F3FF-431B-8598-AD1E4F9FE674}" cache="NativeTimeline_Date_Created" caption="Date Created" level="2" selectionLevel="2" scrollPosition="2025-01-01T00:00:00" style="Company X"/>
  <timeline name="Date Created 2" xr10:uid="{A6D50FC4-BBB9-49AB-B6BE-244F2F5F54E4}" cache="NativeTimeline_Date_Created" caption="Date Created" level="2" selectionLevel="2" scrollPosition="2025-01-01T00:00:00" style="Company X"/>
  <timeline name="Date Resolved 1" xr10:uid="{EF99EB38-6357-4FD9-97CF-B0ADA1E22BCC}" cache="NativeTimeline_Date_Resolved" caption="Date Resolved" level="2" selectionLevel="2" scrollPosition="2025-01-01T00:00:00" style="Quantbase "/>
  <timeline name="Date Resolved 2" xr10:uid="{57F3AF17-3393-494E-876A-43C9AB64CDEF}" cache="NativeTimeline_Date_Resolved" caption="Date Resolved" level="2" selectionLevel="2" scrollPosition="2025-01-01T00:00:00" style="Company X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Created" xr10:uid="{951F3479-73E2-4D74-8018-FDDEECC2EF5B}" cache="NativeTimeline_Date_Created" caption="Date Created" level="2" selectionLevel="2" scrollPosition="2025-01-01T00:00:00"/>
  <timeline name="Date Resolved" xr10:uid="{93C37794-E5DD-491A-8423-3B0F6EEC9276}" cache="NativeTimeline_Date_Resolved" caption="Date Resolved" level="2" selectionLevel="2" scrollPosition="2025-07-04T00:00:00"/>
</timelines>
</file>

<file path=xl/worksheets/_rels/sheet1.xml.rels><?xml version="1.0" encoding="UTF-8" standalone="yes"?>
<Relationships xmlns="http://schemas.openxmlformats.org/package/2006/relationships"><Relationship Id="rId2" Type="http://schemas.microsoft.com/office/2011/relationships/timeline" Target="../timelines/timelin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microsoft.com/office/2011/relationships/timeline" Target="../timelines/timeline2.xml"/><Relationship Id="rId5" Type="http://schemas.openxmlformats.org/officeDocument/2006/relationships/pivotTable" Target="../pivotTables/pivotTable5.xml"/><Relationship Id="rId10" Type="http://schemas.openxmlformats.org/officeDocument/2006/relationships/drawing" Target="../drawings/drawing5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45CDF-4687-4F27-80F5-9021489FF487}">
  <sheetPr codeName="Sheet1"/>
  <dimension ref="T31:BR55"/>
  <sheetViews>
    <sheetView showGridLines="0" tabSelected="1" topLeftCell="Q2" zoomScale="40" zoomScaleNormal="40" workbookViewId="0">
      <selection activeCell="CE167" sqref="CE167"/>
    </sheetView>
  </sheetViews>
  <sheetFormatPr defaultRowHeight="13.2" x14ac:dyDescent="0.25"/>
  <sheetData>
    <row r="31" spans="70:70" x14ac:dyDescent="0.25">
      <c r="BR31" t="s">
        <v>691</v>
      </c>
    </row>
    <row r="55" spans="20:20" x14ac:dyDescent="0.25">
      <c r="T55" s="1" t="s">
        <v>655</v>
      </c>
    </row>
  </sheetData>
  <sheetProtection autoFilter="0" pivotTables="0"/>
  <pageMargins left="0.7" right="0.7" top="0.75" bottom="0.75" header="0.3" footer="0.3"/>
  <drawing r:id="rId1"/>
  <extLst>
    <ext xmlns:x15="http://schemas.microsoft.com/office/spreadsheetml/2010/11/main" uri="{7E03D99C-DC04-49d9-9315-930204A7B6E9}">
      <x15:timelineRefs>
        <x15:timelineRef r:id="rId2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BDE82-C2F6-47A8-A962-9EE9ADB69608}">
  <sheetPr codeName="Sheet2"/>
  <dimension ref="A1:M976"/>
  <sheetViews>
    <sheetView topLeftCell="A4" zoomScale="76" zoomScaleNormal="95" workbookViewId="0">
      <pane xSplit="1" ySplit="2" topLeftCell="C6" activePane="bottomRight" state="frozen"/>
      <selection activeCell="A4" sqref="A4"/>
      <selection pane="topRight" activeCell="B4" sqref="B4"/>
      <selection pane="bottomLeft" activeCell="A6" sqref="A6"/>
      <selection pane="bottomRight" activeCell="N50" sqref="N50"/>
    </sheetView>
  </sheetViews>
  <sheetFormatPr defaultColWidth="8.88671875" defaultRowHeight="16.2" x14ac:dyDescent="0.4"/>
  <cols>
    <col min="1" max="1" width="23.109375" style="2" customWidth="1"/>
    <col min="2" max="2" width="16.33203125" style="2" customWidth="1"/>
    <col min="3" max="3" width="22.44140625" style="2" customWidth="1"/>
    <col min="4" max="4" width="18.5546875" style="2" customWidth="1"/>
    <col min="5" max="5" width="15.5546875" style="2" bestFit="1" customWidth="1"/>
    <col min="6" max="6" width="26.6640625" style="2" customWidth="1"/>
    <col min="7" max="7" width="13.77734375" style="2" customWidth="1"/>
    <col min="8" max="8" width="38.5546875" style="2" bestFit="1" customWidth="1"/>
    <col min="9" max="9" width="30.33203125" style="3" bestFit="1" customWidth="1"/>
    <col min="10" max="10" width="40" style="2" bestFit="1" customWidth="1"/>
    <col min="11" max="11" width="17.109375" style="2" bestFit="1" customWidth="1"/>
    <col min="12" max="12" width="27" style="2" customWidth="1"/>
    <col min="13" max="13" width="19.109375" style="2" customWidth="1"/>
    <col min="14" max="14" width="28.44140625" style="2" customWidth="1"/>
    <col min="15" max="15" width="16.21875" style="2" customWidth="1"/>
    <col min="16" max="16" width="8.88671875" style="2"/>
    <col min="17" max="17" width="10.77734375" style="2" customWidth="1"/>
    <col min="18" max="16384" width="8.88671875" style="2"/>
  </cols>
  <sheetData>
    <row r="1" spans="1:13" x14ac:dyDescent="0.4">
      <c r="C1" s="15"/>
    </row>
    <row r="5" spans="1:13" x14ac:dyDescent="0.4">
      <c r="A5" s="2" t="s">
        <v>0</v>
      </c>
      <c r="B5" s="2" t="s">
        <v>403</v>
      </c>
      <c r="C5" s="2" t="s">
        <v>415</v>
      </c>
      <c r="D5" s="2" t="s">
        <v>386</v>
      </c>
      <c r="E5" s="2" t="s">
        <v>385</v>
      </c>
      <c r="F5" s="2" t="s">
        <v>2</v>
      </c>
      <c r="G5" s="2" t="s">
        <v>578</v>
      </c>
      <c r="H5" s="2" t="s">
        <v>3</v>
      </c>
      <c r="I5" s="2" t="s">
        <v>387</v>
      </c>
      <c r="J5" s="2" t="s">
        <v>419</v>
      </c>
      <c r="K5" s="16" t="s">
        <v>1</v>
      </c>
      <c r="L5" s="2" t="s">
        <v>4</v>
      </c>
      <c r="M5" s="2" t="s">
        <v>533</v>
      </c>
    </row>
    <row r="6" spans="1:13" x14ac:dyDescent="0.4">
      <c r="A6" s="2" t="s">
        <v>5</v>
      </c>
      <c r="B6" s="2">
        <f>VALUE(REPLACE(CustomerTable[[#This Row],[Ticket]],1,3,""))</f>
        <v>64</v>
      </c>
      <c r="C6" s="2" t="s">
        <v>1023</v>
      </c>
      <c r="D6" s="2" t="s">
        <v>2016</v>
      </c>
      <c r="F6" s="2" t="s">
        <v>398</v>
      </c>
      <c r="G6" s="2" t="str">
        <f>IF(CustomerTable[[#This Row],[Status]]="RESOLVED","Done",IF(CustomerTable[[#This Row],[Status]]="CLOSED","DONE",IF(CustomerTable[[#This Row],[Status]]="DEFERRED","Done","Pending")))</f>
        <v>Done</v>
      </c>
      <c r="H6" s="2" t="s">
        <v>1032</v>
      </c>
      <c r="I6" s="2" t="s">
        <v>393</v>
      </c>
      <c r="J6" s="2" t="s">
        <v>1035</v>
      </c>
      <c r="K6" s="16">
        <v>45797</v>
      </c>
      <c r="M6" s="16">
        <v>45932</v>
      </c>
    </row>
    <row r="7" spans="1:13" x14ac:dyDescent="0.4">
      <c r="A7" s="2" t="s">
        <v>6</v>
      </c>
      <c r="B7" s="2">
        <f>VALUE(REPLACE(CustomerTable[[#This Row],[Ticket]],1,3,""))</f>
        <v>78</v>
      </c>
      <c r="C7" s="2" t="s">
        <v>1023</v>
      </c>
      <c r="D7" s="2" t="s">
        <v>2017</v>
      </c>
      <c r="F7" s="2" t="s">
        <v>398</v>
      </c>
      <c r="G7" s="2" t="str">
        <f>IF(CustomerTable[[#This Row],[Status]]="RESOLVED","Done",IF(CustomerTable[[#This Row],[Status]]="CLOSED","DONE",IF(CustomerTable[[#This Row],[Status]]="DEFERRED","Done","Pending")))</f>
        <v>Done</v>
      </c>
      <c r="H7" s="2" t="s">
        <v>1034</v>
      </c>
      <c r="I7" s="2" t="s">
        <v>391</v>
      </c>
      <c r="J7" s="2" t="s">
        <v>1036</v>
      </c>
      <c r="K7" s="16">
        <v>45809</v>
      </c>
      <c r="M7" s="16"/>
    </row>
    <row r="8" spans="1:13" x14ac:dyDescent="0.4">
      <c r="A8" s="2" t="s">
        <v>7</v>
      </c>
      <c r="B8" s="2">
        <f>VALUE(REPLACE(CustomerTable[[#This Row],[Ticket]],1,3,""))</f>
        <v>84</v>
      </c>
      <c r="C8" s="2" t="s">
        <v>1023</v>
      </c>
      <c r="D8" s="2" t="s">
        <v>2018</v>
      </c>
      <c r="F8" s="2" t="s">
        <v>398</v>
      </c>
      <c r="G8" s="2" t="str">
        <f>IF(CustomerTable[[#This Row],[Status]]="RESOLVED","Done",IF(CustomerTable[[#This Row],[Status]]="CLOSED","DONE",IF(CustomerTable[[#This Row],[Status]]="DEFERRED","Done","Pending")))</f>
        <v>Done</v>
      </c>
      <c r="I8" s="2" t="s">
        <v>393</v>
      </c>
      <c r="J8" s="2" t="s">
        <v>1037</v>
      </c>
      <c r="K8" s="16">
        <v>45809</v>
      </c>
      <c r="M8" s="16"/>
    </row>
    <row r="9" spans="1:13" x14ac:dyDescent="0.4">
      <c r="A9" s="2" t="s">
        <v>8</v>
      </c>
      <c r="B9" s="2">
        <f>VALUE(REPLACE(CustomerTable[[#This Row],[Ticket]],1,3,""))</f>
        <v>85</v>
      </c>
      <c r="C9" s="2" t="s">
        <v>1023</v>
      </c>
      <c r="D9" s="2" t="s">
        <v>2019</v>
      </c>
      <c r="F9" s="2" t="s">
        <v>398</v>
      </c>
      <c r="G9" s="2" t="str">
        <f>IF(CustomerTable[[#This Row],[Status]]="RESOLVED","Done",IF(CustomerTable[[#This Row],[Status]]="CLOSED","DONE",IF(CustomerTable[[#This Row],[Status]]="DEFERRED","Done","Pending")))</f>
        <v>Done</v>
      </c>
      <c r="H9" s="2" t="s">
        <v>1027</v>
      </c>
      <c r="I9" s="2" t="s">
        <v>393</v>
      </c>
      <c r="J9" s="2" t="s">
        <v>1038</v>
      </c>
      <c r="K9" s="16">
        <v>45809</v>
      </c>
      <c r="M9" s="16"/>
    </row>
    <row r="10" spans="1:13" x14ac:dyDescent="0.4">
      <c r="A10" s="2" t="s">
        <v>9</v>
      </c>
      <c r="B10" s="2">
        <f>VALUE(REPLACE(CustomerTable[[#This Row],[Ticket]],1,3,""))</f>
        <v>97</v>
      </c>
      <c r="C10" s="2" t="s">
        <v>1023</v>
      </c>
      <c r="D10" s="2" t="s">
        <v>2020</v>
      </c>
      <c r="F10" s="2" t="s">
        <v>398</v>
      </c>
      <c r="G10" s="2" t="str">
        <f>IF(CustomerTable[[#This Row],[Status]]="RESOLVED","Done",IF(CustomerTable[[#This Row],[Status]]="CLOSED","DONE",IF(CustomerTable[[#This Row],[Status]]="DEFERRED","Done","Pending")))</f>
        <v>Done</v>
      </c>
      <c r="H10" s="2" t="s">
        <v>1027</v>
      </c>
      <c r="I10" s="2" t="s">
        <v>388</v>
      </c>
      <c r="J10" s="2" t="s">
        <v>1039</v>
      </c>
      <c r="K10" s="16">
        <v>45817</v>
      </c>
      <c r="M10" s="16"/>
    </row>
    <row r="11" spans="1:13" x14ac:dyDescent="0.4">
      <c r="A11" s="2" t="s">
        <v>10</v>
      </c>
      <c r="B11" s="2">
        <f>VALUE(REPLACE(CustomerTable[[#This Row],[Ticket]],1,3,""))</f>
        <v>150</v>
      </c>
      <c r="C11" s="2" t="s">
        <v>1023</v>
      </c>
      <c r="D11" s="2" t="s">
        <v>2021</v>
      </c>
      <c r="F11" s="2" t="s">
        <v>398</v>
      </c>
      <c r="G11" s="2" t="str">
        <f>IF(CustomerTable[[#This Row],[Status]]="RESOLVED","Done",IF(CustomerTable[[#This Row],[Status]]="CLOSED","DONE",IF(CustomerTable[[#This Row],[Status]]="DEFERRED","Done","Pending")))</f>
        <v>Done</v>
      </c>
      <c r="H11" s="2" t="s">
        <v>1026</v>
      </c>
      <c r="I11" s="2" t="s">
        <v>389</v>
      </c>
      <c r="J11" s="2" t="s">
        <v>1040</v>
      </c>
      <c r="K11" s="16">
        <v>45835</v>
      </c>
      <c r="M11" s="16">
        <v>45995</v>
      </c>
    </row>
    <row r="12" spans="1:13" x14ac:dyDescent="0.4">
      <c r="A12" s="2" t="s">
        <v>12</v>
      </c>
      <c r="B12" s="2">
        <f>VALUE(REPLACE(CustomerTable[[#This Row],[Ticket]],1,3,""))</f>
        <v>155</v>
      </c>
      <c r="C12" s="2" t="s">
        <v>1023</v>
      </c>
      <c r="D12" s="2" t="s">
        <v>2022</v>
      </c>
      <c r="F12" s="2" t="s">
        <v>398</v>
      </c>
      <c r="G12" s="2" t="str">
        <f>IF(CustomerTable[[#This Row],[Status]]="RESOLVED","Done",IF(CustomerTable[[#This Row],[Status]]="CLOSED","DONE",IF(CustomerTable[[#This Row],[Status]]="DEFERRED","Done","Pending")))</f>
        <v>Done</v>
      </c>
      <c r="H12" s="2" t="s">
        <v>1032</v>
      </c>
      <c r="I12" s="2" t="s">
        <v>389</v>
      </c>
      <c r="J12" s="2" t="s">
        <v>1041</v>
      </c>
      <c r="K12" s="16">
        <v>45832</v>
      </c>
      <c r="M12" s="16">
        <v>45985</v>
      </c>
    </row>
    <row r="13" spans="1:13" x14ac:dyDescent="0.4">
      <c r="A13" s="2" t="s">
        <v>13</v>
      </c>
      <c r="B13" s="2">
        <f>VALUE(REPLACE(CustomerTable[[#This Row],[Ticket]],1,3,""))</f>
        <v>197</v>
      </c>
      <c r="C13" s="2" t="s">
        <v>1023</v>
      </c>
      <c r="D13" s="2" t="s">
        <v>2023</v>
      </c>
      <c r="E13" s="2" t="s">
        <v>405</v>
      </c>
      <c r="F13" s="2" t="s">
        <v>398</v>
      </c>
      <c r="G13" s="2" t="str">
        <f>IF(CustomerTable[[#This Row],[Status]]="RESOLVED","Done",IF(CustomerTable[[#This Row],[Status]]="CLOSED","DONE",IF(CustomerTable[[#This Row],[Status]]="DEFERRED","Done","Pending")))</f>
        <v>Done</v>
      </c>
      <c r="H13" s="2" t="s">
        <v>1025</v>
      </c>
      <c r="I13" s="2" t="s">
        <v>389</v>
      </c>
      <c r="J13" s="2" t="s">
        <v>1042</v>
      </c>
      <c r="K13" s="16">
        <v>45855</v>
      </c>
      <c r="M13" s="16">
        <v>45945</v>
      </c>
    </row>
    <row r="14" spans="1:13" x14ac:dyDescent="0.4">
      <c r="A14" s="2" t="s">
        <v>14</v>
      </c>
      <c r="B14" s="2">
        <f>VALUE(REPLACE(CustomerTable[[#This Row],[Ticket]],1,3,""))</f>
        <v>199</v>
      </c>
      <c r="C14" s="2" t="s">
        <v>1023</v>
      </c>
      <c r="D14" s="2" t="s">
        <v>2024</v>
      </c>
      <c r="F14" s="2" t="s">
        <v>398</v>
      </c>
      <c r="G14" s="2" t="str">
        <f>IF(CustomerTable[[#This Row],[Status]]="RESOLVED","Done",IF(CustomerTable[[#This Row],[Status]]="CLOSED","DONE",IF(CustomerTable[[#This Row],[Status]]="DEFERRED","Done","Pending")))</f>
        <v>Done</v>
      </c>
      <c r="H14" s="2" t="s">
        <v>1026</v>
      </c>
      <c r="I14" s="2" t="s">
        <v>389</v>
      </c>
      <c r="J14" s="2" t="s">
        <v>1043</v>
      </c>
      <c r="K14" s="16">
        <v>45855</v>
      </c>
      <c r="M14" s="16">
        <v>45908</v>
      </c>
    </row>
    <row r="15" spans="1:13" x14ac:dyDescent="0.4">
      <c r="A15" s="2" t="s">
        <v>15</v>
      </c>
      <c r="B15" s="2">
        <f>VALUE(REPLACE(CustomerTable[[#This Row],[Ticket]],1,3,""))</f>
        <v>205</v>
      </c>
      <c r="C15" s="2" t="s">
        <v>1023</v>
      </c>
      <c r="D15" s="2" t="s">
        <v>2025</v>
      </c>
      <c r="F15" s="2" t="s">
        <v>398</v>
      </c>
      <c r="G15" s="2" t="str">
        <f>IF(CustomerTable[[#This Row],[Status]]="RESOLVED","Done",IF(CustomerTable[[#This Row],[Status]]="CLOSED","DONE",IF(CustomerTable[[#This Row],[Status]]="DEFERRED","Done","Pending")))</f>
        <v>Done</v>
      </c>
      <c r="H15" s="2" t="s">
        <v>1032</v>
      </c>
      <c r="I15" s="2" t="s">
        <v>391</v>
      </c>
      <c r="J15" s="2" t="s">
        <v>1044</v>
      </c>
      <c r="K15" s="16">
        <v>45857</v>
      </c>
      <c r="M15" s="16">
        <v>45908</v>
      </c>
    </row>
    <row r="16" spans="1:13" x14ac:dyDescent="0.4">
      <c r="A16" s="2" t="s">
        <v>16</v>
      </c>
      <c r="B16" s="2">
        <f>VALUE(REPLACE(CustomerTable[[#This Row],[Ticket]],1,3,""))</f>
        <v>211</v>
      </c>
      <c r="C16" s="2" t="s">
        <v>1023</v>
      </c>
      <c r="D16" s="2" t="s">
        <v>2026</v>
      </c>
      <c r="E16" s="2" t="s">
        <v>405</v>
      </c>
      <c r="F16" s="2" t="s">
        <v>398</v>
      </c>
      <c r="G16" s="2" t="str">
        <f>IF(CustomerTable[[#This Row],[Status]]="RESOLVED","Done",IF(CustomerTable[[#This Row],[Status]]="CLOSED","DONE",IF(CustomerTable[[#This Row],[Status]]="DEFERRED","Done","Pending")))</f>
        <v>Done</v>
      </c>
      <c r="H16" s="2" t="s">
        <v>1026</v>
      </c>
      <c r="I16" s="2" t="s">
        <v>392</v>
      </c>
      <c r="J16" s="2" t="s">
        <v>1045</v>
      </c>
      <c r="K16" s="16">
        <v>45859</v>
      </c>
      <c r="M16" s="16"/>
    </row>
    <row r="17" spans="1:13" x14ac:dyDescent="0.4">
      <c r="A17" s="2" t="s">
        <v>17</v>
      </c>
      <c r="B17" s="2">
        <f>VALUE(REPLACE(CustomerTable[[#This Row],[Ticket]],1,3,""))</f>
        <v>228</v>
      </c>
      <c r="C17" s="2" t="s">
        <v>1023</v>
      </c>
      <c r="D17" s="2" t="s">
        <v>2027</v>
      </c>
      <c r="F17" s="2" t="s">
        <v>398</v>
      </c>
      <c r="G17" s="2" t="str">
        <f>IF(CustomerTable[[#This Row],[Status]]="RESOLVED","Done",IF(CustomerTable[[#This Row],[Status]]="CLOSED","DONE",IF(CustomerTable[[#This Row],[Status]]="DEFERRED","Done","Pending")))</f>
        <v>Done</v>
      </c>
      <c r="H17" s="2" t="s">
        <v>1027</v>
      </c>
      <c r="I17" s="2" t="s">
        <v>389</v>
      </c>
      <c r="J17" s="2" t="s">
        <v>1046</v>
      </c>
      <c r="K17" s="16">
        <v>45865</v>
      </c>
      <c r="M17" s="16">
        <v>45932</v>
      </c>
    </row>
    <row r="18" spans="1:13" x14ac:dyDescent="0.4">
      <c r="A18" s="2" t="s">
        <v>18</v>
      </c>
      <c r="B18" s="2">
        <f>VALUE(REPLACE(CustomerTable[[#This Row],[Ticket]],1,3,""))</f>
        <v>229</v>
      </c>
      <c r="C18" s="2" t="s">
        <v>1023</v>
      </c>
      <c r="D18" s="2" t="s">
        <v>2028</v>
      </c>
      <c r="F18" s="2" t="s">
        <v>398</v>
      </c>
      <c r="G18" s="2" t="str">
        <f>IF(CustomerTable[[#This Row],[Status]]="RESOLVED","Done",IF(CustomerTable[[#This Row],[Status]]="CLOSED","DONE",IF(CustomerTable[[#This Row],[Status]]="DEFERRED","Done","Pending")))</f>
        <v>Done</v>
      </c>
      <c r="H18" s="2" t="s">
        <v>1026</v>
      </c>
      <c r="I18" s="2" t="s">
        <v>389</v>
      </c>
      <c r="J18" s="2" t="s">
        <v>1047</v>
      </c>
      <c r="K18" s="16">
        <v>45866</v>
      </c>
      <c r="M18" s="16">
        <v>45994</v>
      </c>
    </row>
    <row r="19" spans="1:13" x14ac:dyDescent="0.4">
      <c r="A19" s="2" t="s">
        <v>19</v>
      </c>
      <c r="B19" s="2">
        <f>VALUE(REPLACE(CustomerTable[[#This Row],[Ticket]],1,3,""))</f>
        <v>239</v>
      </c>
      <c r="C19" s="2" t="s">
        <v>1023</v>
      </c>
      <c r="D19" s="2" t="s">
        <v>2029</v>
      </c>
      <c r="E19" s="2" t="s">
        <v>405</v>
      </c>
      <c r="F19" s="2" t="s">
        <v>398</v>
      </c>
      <c r="G19" s="2" t="str">
        <f>IF(CustomerTable[[#This Row],[Status]]="RESOLVED","Done",IF(CustomerTable[[#This Row],[Status]]="CLOSED","DONE",IF(CustomerTable[[#This Row],[Status]]="DEFERRED","Done","Pending")))</f>
        <v>Done</v>
      </c>
      <c r="H19" s="2" t="s">
        <v>1027</v>
      </c>
      <c r="I19" s="2" t="s">
        <v>389</v>
      </c>
      <c r="J19" s="2" t="s">
        <v>1048</v>
      </c>
      <c r="K19" s="16">
        <v>45867</v>
      </c>
      <c r="M19" s="16">
        <v>45959</v>
      </c>
    </row>
    <row r="20" spans="1:13" x14ac:dyDescent="0.4">
      <c r="A20" s="2" t="s">
        <v>20</v>
      </c>
      <c r="B20" s="2">
        <f>VALUE(REPLACE(CustomerTable[[#This Row],[Ticket]],1,3,""))</f>
        <v>243</v>
      </c>
      <c r="C20" s="2" t="s">
        <v>1023</v>
      </c>
      <c r="D20" s="2" t="s">
        <v>2030</v>
      </c>
      <c r="F20" s="2" t="s">
        <v>398</v>
      </c>
      <c r="G20" s="2" t="str">
        <f>IF(CustomerTable[[#This Row],[Status]]="RESOLVED","Done",IF(CustomerTable[[#This Row],[Status]]="CLOSED","DONE",IF(CustomerTable[[#This Row],[Status]]="DEFERRED","Done","Pending")))</f>
        <v>Done</v>
      </c>
      <c r="H20" s="2" t="s">
        <v>1027</v>
      </c>
      <c r="I20" s="2" t="s">
        <v>389</v>
      </c>
      <c r="J20" s="2" t="s">
        <v>1049</v>
      </c>
      <c r="K20" s="16">
        <v>45869</v>
      </c>
      <c r="M20" s="16">
        <v>45908</v>
      </c>
    </row>
    <row r="21" spans="1:13" x14ac:dyDescent="0.4">
      <c r="A21" s="2" t="s">
        <v>21</v>
      </c>
      <c r="B21" s="2">
        <f>VALUE(REPLACE(CustomerTable[[#This Row],[Ticket]],1,3,""))</f>
        <v>248</v>
      </c>
      <c r="C21" s="2" t="s">
        <v>1024</v>
      </c>
      <c r="D21" s="2" t="s">
        <v>2031</v>
      </c>
      <c r="F21" s="2" t="s">
        <v>398</v>
      </c>
      <c r="G21" s="2" t="str">
        <f>IF(CustomerTable[[#This Row],[Status]]="RESOLVED","Done",IF(CustomerTable[[#This Row],[Status]]="CLOSED","DONE",IF(CustomerTable[[#This Row],[Status]]="DEFERRED","Done","Pending")))</f>
        <v>Done</v>
      </c>
      <c r="H21" s="2" t="s">
        <v>1032</v>
      </c>
      <c r="I21" s="2" t="s">
        <v>392</v>
      </c>
      <c r="J21" s="2" t="s">
        <v>1050</v>
      </c>
      <c r="K21" s="16">
        <v>45873</v>
      </c>
      <c r="M21" s="16">
        <v>45932</v>
      </c>
    </row>
    <row r="22" spans="1:13" x14ac:dyDescent="0.4">
      <c r="A22" s="2" t="s">
        <v>22</v>
      </c>
      <c r="B22" s="2">
        <f>VALUE(REPLACE(CustomerTable[[#This Row],[Ticket]],1,3,""))</f>
        <v>249</v>
      </c>
      <c r="C22" s="2" t="s">
        <v>1023</v>
      </c>
      <c r="D22" s="2" t="s">
        <v>2032</v>
      </c>
      <c r="F22" s="2" t="s">
        <v>398</v>
      </c>
      <c r="G22" s="2" t="str">
        <f>IF(CustomerTable[[#This Row],[Status]]="RESOLVED","Done",IF(CustomerTable[[#This Row],[Status]]="CLOSED","DONE",IF(CustomerTable[[#This Row],[Status]]="DEFERRED","Done","Pending")))</f>
        <v>Done</v>
      </c>
      <c r="H22" s="2" t="s">
        <v>1034</v>
      </c>
      <c r="I22" s="2" t="s">
        <v>389</v>
      </c>
      <c r="J22" s="2" t="s">
        <v>1051</v>
      </c>
      <c r="K22" s="16">
        <v>45873</v>
      </c>
      <c r="M22" s="16">
        <v>45908</v>
      </c>
    </row>
    <row r="23" spans="1:13" x14ac:dyDescent="0.4">
      <c r="A23" s="2" t="s">
        <v>23</v>
      </c>
      <c r="B23" s="2">
        <f>VALUE(REPLACE(CustomerTable[[#This Row],[Ticket]],1,3,""))</f>
        <v>250</v>
      </c>
      <c r="C23" s="2" t="s">
        <v>1023</v>
      </c>
      <c r="D23" s="2" t="s">
        <v>2033</v>
      </c>
      <c r="F23" s="2" t="s">
        <v>398</v>
      </c>
      <c r="G23" s="2" t="str">
        <f>IF(CustomerTable[[#This Row],[Status]]="RESOLVED","Done",IF(CustomerTable[[#This Row],[Status]]="CLOSED","DONE",IF(CustomerTable[[#This Row],[Status]]="DEFERRED","Done","Pending")))</f>
        <v>Done</v>
      </c>
      <c r="H23" s="2" t="s">
        <v>1032</v>
      </c>
      <c r="I23" s="2" t="s">
        <v>389</v>
      </c>
      <c r="J23" s="2" t="s">
        <v>1052</v>
      </c>
      <c r="K23" s="16">
        <v>45874</v>
      </c>
      <c r="M23" s="16">
        <v>45932</v>
      </c>
    </row>
    <row r="24" spans="1:13" x14ac:dyDescent="0.4">
      <c r="A24" s="2" t="s">
        <v>24</v>
      </c>
      <c r="B24" s="2">
        <f>VALUE(REPLACE(CustomerTable[[#This Row],[Ticket]],1,3,""))</f>
        <v>252</v>
      </c>
      <c r="C24" s="2" t="s">
        <v>1023</v>
      </c>
      <c r="D24" s="2" t="s">
        <v>2034</v>
      </c>
      <c r="F24" s="2" t="s">
        <v>398</v>
      </c>
      <c r="G24" s="2" t="str">
        <f>IF(CustomerTable[[#This Row],[Status]]="RESOLVED","Done",IF(CustomerTable[[#This Row],[Status]]="CLOSED","DONE",IF(CustomerTable[[#This Row],[Status]]="DEFERRED","Done","Pending")))</f>
        <v>Done</v>
      </c>
      <c r="H24" s="2" t="s">
        <v>1032</v>
      </c>
      <c r="I24" s="2" t="s">
        <v>389</v>
      </c>
      <c r="J24" s="2" t="s">
        <v>1053</v>
      </c>
      <c r="K24" s="16">
        <v>45874</v>
      </c>
      <c r="M24" s="16">
        <v>45908</v>
      </c>
    </row>
    <row r="25" spans="1:13" x14ac:dyDescent="0.4">
      <c r="A25" s="2" t="s">
        <v>25</v>
      </c>
      <c r="B25" s="2">
        <f>VALUE(REPLACE(CustomerTable[[#This Row],[Ticket]],1,3,""))</f>
        <v>258</v>
      </c>
      <c r="C25" s="2" t="s">
        <v>1023</v>
      </c>
      <c r="D25" s="2" t="s">
        <v>2035</v>
      </c>
      <c r="F25" s="2" t="s">
        <v>398</v>
      </c>
      <c r="G25" s="2" t="str">
        <f>IF(CustomerTable[[#This Row],[Status]]="RESOLVED","Done",IF(CustomerTable[[#This Row],[Status]]="CLOSED","DONE",IF(CustomerTable[[#This Row],[Status]]="DEFERRED","Done","Pending")))</f>
        <v>Done</v>
      </c>
      <c r="H25" s="2" t="s">
        <v>1027</v>
      </c>
      <c r="I25" s="2" t="s">
        <v>389</v>
      </c>
      <c r="J25" s="2" t="s">
        <v>1054</v>
      </c>
      <c r="K25" s="16">
        <v>45875</v>
      </c>
      <c r="M25" s="16">
        <v>45908</v>
      </c>
    </row>
    <row r="26" spans="1:13" x14ac:dyDescent="0.4">
      <c r="A26" s="2" t="s">
        <v>26</v>
      </c>
      <c r="B26" s="2">
        <f>VALUE(REPLACE(CustomerTable[[#This Row],[Ticket]],1,3,""))</f>
        <v>260</v>
      </c>
      <c r="C26" s="2" t="s">
        <v>1023</v>
      </c>
      <c r="D26" s="2" t="s">
        <v>2036</v>
      </c>
      <c r="F26" s="2" t="s">
        <v>398</v>
      </c>
      <c r="G26" s="2" t="str">
        <f>IF(CustomerTable[[#This Row],[Status]]="RESOLVED","Done",IF(CustomerTable[[#This Row],[Status]]="CLOSED","DONE",IF(CustomerTable[[#This Row],[Status]]="DEFERRED","Done","Pending")))</f>
        <v>Done</v>
      </c>
      <c r="H26" s="2" t="s">
        <v>1032</v>
      </c>
      <c r="I26" s="2" t="s">
        <v>392</v>
      </c>
      <c r="J26" s="2" t="s">
        <v>1055</v>
      </c>
      <c r="K26" s="16">
        <v>45875</v>
      </c>
      <c r="M26" s="16">
        <v>45995</v>
      </c>
    </row>
    <row r="27" spans="1:13" x14ac:dyDescent="0.4">
      <c r="A27" s="2" t="s">
        <v>27</v>
      </c>
      <c r="B27" s="2">
        <f>VALUE(REPLACE(CustomerTable[[#This Row],[Ticket]],1,3,""))</f>
        <v>262</v>
      </c>
      <c r="C27" s="2" t="s">
        <v>1023</v>
      </c>
      <c r="D27" s="2" t="s">
        <v>2037</v>
      </c>
      <c r="F27" s="2" t="s">
        <v>398</v>
      </c>
      <c r="G27" s="2" t="str">
        <f>IF(CustomerTable[[#This Row],[Status]]="RESOLVED","Done",IF(CustomerTable[[#This Row],[Status]]="CLOSED","DONE",IF(CustomerTable[[#This Row],[Status]]="DEFERRED","Done","Pending")))</f>
        <v>Done</v>
      </c>
      <c r="H27" s="2" t="s">
        <v>1026</v>
      </c>
      <c r="I27" s="2" t="s">
        <v>391</v>
      </c>
      <c r="J27" s="2" t="s">
        <v>1056</v>
      </c>
      <c r="K27" s="16">
        <v>45876</v>
      </c>
      <c r="M27" s="16">
        <v>45902</v>
      </c>
    </row>
    <row r="28" spans="1:13" x14ac:dyDescent="0.4">
      <c r="A28" s="2" t="s">
        <v>28</v>
      </c>
      <c r="B28" s="2">
        <f>VALUE(REPLACE(CustomerTable[[#This Row],[Ticket]],1,3,""))</f>
        <v>265</v>
      </c>
      <c r="C28" s="2" t="s">
        <v>1023</v>
      </c>
      <c r="D28" s="2" t="s">
        <v>2038</v>
      </c>
      <c r="F28" s="2" t="s">
        <v>398</v>
      </c>
      <c r="G28" s="2" t="str">
        <f>IF(CustomerTable[[#This Row],[Status]]="RESOLVED","Done",IF(CustomerTable[[#This Row],[Status]]="CLOSED","DONE",IF(CustomerTable[[#This Row],[Status]]="DEFERRED","Done","Pending")))</f>
        <v>Done</v>
      </c>
      <c r="H28" s="2" t="s">
        <v>1026</v>
      </c>
      <c r="I28" s="2" t="s">
        <v>389</v>
      </c>
      <c r="J28" s="2" t="s">
        <v>1057</v>
      </c>
      <c r="K28" s="16">
        <v>45880</v>
      </c>
      <c r="M28" s="16">
        <v>45908</v>
      </c>
    </row>
    <row r="29" spans="1:13" x14ac:dyDescent="0.4">
      <c r="A29" s="2" t="s">
        <v>29</v>
      </c>
      <c r="B29" s="2">
        <f>VALUE(REPLACE(CustomerTable[[#This Row],[Ticket]],1,3,""))</f>
        <v>266</v>
      </c>
      <c r="C29" s="2" t="s">
        <v>1023</v>
      </c>
      <c r="D29" s="2" t="s">
        <v>2039</v>
      </c>
      <c r="F29" s="2" t="s">
        <v>398</v>
      </c>
      <c r="G29" s="2" t="str">
        <f>IF(CustomerTable[[#This Row],[Status]]="RESOLVED","Done",IF(CustomerTable[[#This Row],[Status]]="CLOSED","DONE",IF(CustomerTable[[#This Row],[Status]]="DEFERRED","Done","Pending")))</f>
        <v>Done</v>
      </c>
      <c r="H29" s="2" t="s">
        <v>1026</v>
      </c>
      <c r="I29" s="2" t="s">
        <v>389</v>
      </c>
      <c r="J29" s="2" t="s">
        <v>1058</v>
      </c>
      <c r="K29" s="16">
        <v>45880</v>
      </c>
      <c r="M29" s="16">
        <v>45944</v>
      </c>
    </row>
    <row r="30" spans="1:13" x14ac:dyDescent="0.4">
      <c r="A30" s="2" t="s">
        <v>30</v>
      </c>
      <c r="B30" s="2">
        <f>VALUE(REPLACE(CustomerTable[[#This Row],[Ticket]],1,3,""))</f>
        <v>269</v>
      </c>
      <c r="C30" s="2" t="s">
        <v>1023</v>
      </c>
      <c r="D30" s="2" t="s">
        <v>2040</v>
      </c>
      <c r="F30" s="2" t="s">
        <v>398</v>
      </c>
      <c r="G30" s="2" t="str">
        <f>IF(CustomerTable[[#This Row],[Status]]="RESOLVED","Done",IF(CustomerTable[[#This Row],[Status]]="CLOSED","DONE",IF(CustomerTable[[#This Row],[Status]]="DEFERRED","Done","Pending")))</f>
        <v>Done</v>
      </c>
      <c r="H30" s="2" t="s">
        <v>1032</v>
      </c>
      <c r="I30" s="2" t="s">
        <v>391</v>
      </c>
      <c r="J30" s="2" t="s">
        <v>1059</v>
      </c>
      <c r="K30" s="16">
        <v>45881</v>
      </c>
      <c r="M30" s="16">
        <v>45933</v>
      </c>
    </row>
    <row r="31" spans="1:13" x14ac:dyDescent="0.4">
      <c r="A31" s="2" t="s">
        <v>31</v>
      </c>
      <c r="B31" s="2">
        <f>VALUE(REPLACE(CustomerTable[[#This Row],[Ticket]],1,3,""))</f>
        <v>274</v>
      </c>
      <c r="C31" s="2" t="s">
        <v>1023</v>
      </c>
      <c r="D31" s="2" t="s">
        <v>2041</v>
      </c>
      <c r="F31" s="2" t="s">
        <v>398</v>
      </c>
      <c r="G31" s="2" t="str">
        <f>IF(CustomerTable[[#This Row],[Status]]="RESOLVED","Done",IF(CustomerTable[[#This Row],[Status]]="CLOSED","DONE",IF(CustomerTable[[#This Row],[Status]]="DEFERRED","Done","Pending")))</f>
        <v>Done</v>
      </c>
      <c r="H31" s="2" t="s">
        <v>1032</v>
      </c>
      <c r="I31" s="2" t="s">
        <v>390</v>
      </c>
      <c r="J31" s="2" t="s">
        <v>1060</v>
      </c>
      <c r="K31" s="16">
        <v>45882</v>
      </c>
      <c r="M31" s="16">
        <v>45962</v>
      </c>
    </row>
    <row r="32" spans="1:13" x14ac:dyDescent="0.4">
      <c r="A32" s="2" t="s">
        <v>32</v>
      </c>
      <c r="B32" s="2">
        <f>VALUE(REPLACE(CustomerTable[[#This Row],[Ticket]],1,3,""))</f>
        <v>276</v>
      </c>
      <c r="C32" s="2" t="s">
        <v>1023</v>
      </c>
      <c r="D32" s="2" t="s">
        <v>2042</v>
      </c>
      <c r="F32" s="2" t="s">
        <v>398</v>
      </c>
      <c r="G32" s="2" t="str">
        <f>IF(CustomerTable[[#This Row],[Status]]="RESOLVED","Done",IF(CustomerTable[[#This Row],[Status]]="CLOSED","DONE",IF(CustomerTable[[#This Row],[Status]]="DEFERRED","Done","Pending")))</f>
        <v>Done</v>
      </c>
      <c r="H32" s="2" t="s">
        <v>1026</v>
      </c>
      <c r="I32" s="2" t="s">
        <v>389</v>
      </c>
      <c r="J32" s="2" t="s">
        <v>1061</v>
      </c>
      <c r="K32" s="16">
        <v>45883</v>
      </c>
      <c r="M32" s="16">
        <v>45908</v>
      </c>
    </row>
    <row r="33" spans="1:13" x14ac:dyDescent="0.4">
      <c r="A33" s="2" t="s">
        <v>33</v>
      </c>
      <c r="B33" s="2">
        <f>VALUE(REPLACE(CustomerTable[[#This Row],[Ticket]],1,3,""))</f>
        <v>285</v>
      </c>
      <c r="C33" s="2" t="s">
        <v>1023</v>
      </c>
      <c r="D33" s="2" t="s">
        <v>2043</v>
      </c>
      <c r="F33" s="2" t="s">
        <v>398</v>
      </c>
      <c r="G33" s="2" t="str">
        <f>IF(CustomerTable[[#This Row],[Status]]="RESOLVED","Done",IF(CustomerTable[[#This Row],[Status]]="CLOSED","DONE",IF(CustomerTable[[#This Row],[Status]]="DEFERRED","Done","Pending")))</f>
        <v>Done</v>
      </c>
      <c r="H33" s="2" t="s">
        <v>1026</v>
      </c>
      <c r="I33" s="2" t="s">
        <v>390</v>
      </c>
      <c r="J33" s="2" t="s">
        <v>1062</v>
      </c>
      <c r="K33" s="16">
        <v>45883</v>
      </c>
      <c r="M33" s="16">
        <v>45985</v>
      </c>
    </row>
    <row r="34" spans="1:13" x14ac:dyDescent="0.4">
      <c r="A34" s="2" t="s">
        <v>34</v>
      </c>
      <c r="B34" s="2">
        <f>VALUE(REPLACE(CustomerTable[[#This Row],[Ticket]],1,3,""))</f>
        <v>287</v>
      </c>
      <c r="C34" s="2" t="s">
        <v>1023</v>
      </c>
      <c r="D34" s="2" t="s">
        <v>2044</v>
      </c>
      <c r="F34" s="2" t="s">
        <v>398</v>
      </c>
      <c r="G34" s="2" t="str">
        <f>IF(CustomerTable[[#This Row],[Status]]="RESOLVED","Done",IF(CustomerTable[[#This Row],[Status]]="CLOSED","DONE",IF(CustomerTable[[#This Row],[Status]]="DEFERRED","Done","Pending")))</f>
        <v>Done</v>
      </c>
      <c r="H34" s="2" t="s">
        <v>1032</v>
      </c>
      <c r="I34" s="2" t="s">
        <v>389</v>
      </c>
      <c r="J34" s="2" t="s">
        <v>1063</v>
      </c>
      <c r="K34" s="16">
        <v>45884</v>
      </c>
      <c r="M34" s="16">
        <v>45936</v>
      </c>
    </row>
    <row r="35" spans="1:13" x14ac:dyDescent="0.4">
      <c r="A35" s="2" t="s">
        <v>35</v>
      </c>
      <c r="B35" s="2">
        <f>VALUE(REPLACE(CustomerTable[[#This Row],[Ticket]],1,3,""))</f>
        <v>288</v>
      </c>
      <c r="C35" s="2" t="s">
        <v>1023</v>
      </c>
      <c r="D35" s="2" t="s">
        <v>2045</v>
      </c>
      <c r="F35" s="2" t="s">
        <v>398</v>
      </c>
      <c r="G35" s="2" t="str">
        <f>IF(CustomerTable[[#This Row],[Status]]="RESOLVED","Done",IF(CustomerTable[[#This Row],[Status]]="CLOSED","DONE",IF(CustomerTable[[#This Row],[Status]]="DEFERRED","Done","Pending")))</f>
        <v>Done</v>
      </c>
      <c r="H35" s="2" t="s">
        <v>1027</v>
      </c>
      <c r="I35" s="2" t="s">
        <v>389</v>
      </c>
      <c r="J35" s="2" t="s">
        <v>1064</v>
      </c>
      <c r="K35" s="16">
        <v>45884</v>
      </c>
      <c r="M35" s="16">
        <v>45912</v>
      </c>
    </row>
    <row r="36" spans="1:13" x14ac:dyDescent="0.4">
      <c r="A36" s="2" t="s">
        <v>36</v>
      </c>
      <c r="B36" s="2">
        <f>VALUE(REPLACE(CustomerTable[[#This Row],[Ticket]],1,3,""))</f>
        <v>289</v>
      </c>
      <c r="C36" s="2" t="s">
        <v>1023</v>
      </c>
      <c r="D36" s="2" t="s">
        <v>2046</v>
      </c>
      <c r="F36" s="2" t="s">
        <v>398</v>
      </c>
      <c r="G36" s="2" t="str">
        <f>IF(CustomerTable[[#This Row],[Status]]="RESOLVED","Done",IF(CustomerTable[[#This Row],[Status]]="CLOSED","DONE",IF(CustomerTable[[#This Row],[Status]]="DEFERRED","Done","Pending")))</f>
        <v>Done</v>
      </c>
      <c r="H36" s="2" t="s">
        <v>1027</v>
      </c>
      <c r="I36" s="2" t="s">
        <v>389</v>
      </c>
      <c r="J36" s="2" t="s">
        <v>1065</v>
      </c>
      <c r="K36" s="16">
        <v>45884</v>
      </c>
      <c r="M36" s="16">
        <v>45908</v>
      </c>
    </row>
    <row r="37" spans="1:13" x14ac:dyDescent="0.4">
      <c r="A37" s="2" t="s">
        <v>37</v>
      </c>
      <c r="B37" s="2">
        <f>VALUE(REPLACE(CustomerTable[[#This Row],[Ticket]],1,3,""))</f>
        <v>290</v>
      </c>
      <c r="C37" s="2" t="s">
        <v>1023</v>
      </c>
      <c r="D37" s="2" t="s">
        <v>2047</v>
      </c>
      <c r="E37" s="2" t="s">
        <v>405</v>
      </c>
      <c r="F37" s="2" t="s">
        <v>398</v>
      </c>
      <c r="G37" s="2" t="str">
        <f>IF(CustomerTable[[#This Row],[Status]]="RESOLVED","Done",IF(CustomerTable[[#This Row],[Status]]="CLOSED","DONE",IF(CustomerTable[[#This Row],[Status]]="DEFERRED","Done","Pending")))</f>
        <v>Done</v>
      </c>
      <c r="H37" s="2" t="s">
        <v>1026</v>
      </c>
      <c r="I37" s="2" t="s">
        <v>392</v>
      </c>
      <c r="J37" s="2" t="s">
        <v>1066</v>
      </c>
      <c r="K37" s="16">
        <v>45887</v>
      </c>
      <c r="M37" s="16">
        <v>45917</v>
      </c>
    </row>
    <row r="38" spans="1:13" x14ac:dyDescent="0.4">
      <c r="A38" s="2" t="s">
        <v>38</v>
      </c>
      <c r="B38" s="2">
        <f>VALUE(REPLACE(CustomerTable[[#This Row],[Ticket]],1,3,""))</f>
        <v>291</v>
      </c>
      <c r="C38" s="2" t="s">
        <v>1023</v>
      </c>
      <c r="D38" s="2" t="s">
        <v>2048</v>
      </c>
      <c r="F38" s="2" t="s">
        <v>398</v>
      </c>
      <c r="G38" s="2" t="str">
        <f>IF(CustomerTable[[#This Row],[Status]]="RESOLVED","Done",IF(CustomerTable[[#This Row],[Status]]="CLOSED","DONE",IF(CustomerTable[[#This Row],[Status]]="DEFERRED","Done","Pending")))</f>
        <v>Done</v>
      </c>
      <c r="H38" s="2" t="s">
        <v>1027</v>
      </c>
      <c r="I38" s="2" t="s">
        <v>390</v>
      </c>
      <c r="J38" s="2" t="s">
        <v>1067</v>
      </c>
      <c r="K38" s="16">
        <v>45887</v>
      </c>
      <c r="M38" s="16">
        <v>45908</v>
      </c>
    </row>
    <row r="39" spans="1:13" x14ac:dyDescent="0.4">
      <c r="A39" s="2" t="s">
        <v>39</v>
      </c>
      <c r="B39" s="2">
        <f>VALUE(REPLACE(CustomerTable[[#This Row],[Ticket]],1,3,""))</f>
        <v>295</v>
      </c>
      <c r="C39" s="2" t="s">
        <v>1023</v>
      </c>
      <c r="D39" s="2" t="s">
        <v>2049</v>
      </c>
      <c r="F39" s="2" t="s">
        <v>398</v>
      </c>
      <c r="G39" s="2" t="str">
        <f>IF(CustomerTable[[#This Row],[Status]]="RESOLVED","Done",IF(CustomerTable[[#This Row],[Status]]="CLOSED","DONE",IF(CustomerTable[[#This Row],[Status]]="DEFERRED","Done","Pending")))</f>
        <v>Done</v>
      </c>
      <c r="H39" s="2" t="s">
        <v>1026</v>
      </c>
      <c r="I39" s="2" t="s">
        <v>390</v>
      </c>
      <c r="J39" s="2" t="s">
        <v>1068</v>
      </c>
      <c r="K39" s="16">
        <v>45887</v>
      </c>
      <c r="M39" s="16">
        <v>45902</v>
      </c>
    </row>
    <row r="40" spans="1:13" x14ac:dyDescent="0.4">
      <c r="A40" s="2" t="s">
        <v>40</v>
      </c>
      <c r="B40" s="2">
        <f>VALUE(REPLACE(CustomerTable[[#This Row],[Ticket]],1,3,""))</f>
        <v>297</v>
      </c>
      <c r="C40" s="2" t="s">
        <v>1023</v>
      </c>
      <c r="D40" s="2" t="s">
        <v>2050</v>
      </c>
      <c r="F40" s="2" t="s">
        <v>398</v>
      </c>
      <c r="G40" s="2" t="str">
        <f>IF(CustomerTable[[#This Row],[Status]]="RESOLVED","Done",IF(CustomerTable[[#This Row],[Status]]="CLOSED","DONE",IF(CustomerTable[[#This Row],[Status]]="DEFERRED","Done","Pending")))</f>
        <v>Done</v>
      </c>
      <c r="H40" s="2" t="s">
        <v>1026</v>
      </c>
      <c r="I40" s="2" t="s">
        <v>389</v>
      </c>
      <c r="J40" s="2" t="s">
        <v>1069</v>
      </c>
      <c r="K40" s="16">
        <v>45888</v>
      </c>
      <c r="M40" s="16">
        <v>45917</v>
      </c>
    </row>
    <row r="41" spans="1:13" x14ac:dyDescent="0.4">
      <c r="A41" s="2" t="s">
        <v>41</v>
      </c>
      <c r="B41" s="2">
        <f>VALUE(REPLACE(CustomerTable[[#This Row],[Ticket]],1,3,""))</f>
        <v>298</v>
      </c>
      <c r="C41" s="2" t="s">
        <v>1023</v>
      </c>
      <c r="D41" s="2" t="s">
        <v>2051</v>
      </c>
      <c r="F41" s="2" t="s">
        <v>398</v>
      </c>
      <c r="G41" s="2" t="str">
        <f>IF(CustomerTable[[#This Row],[Status]]="RESOLVED","Done",IF(CustomerTable[[#This Row],[Status]]="CLOSED","DONE",IF(CustomerTable[[#This Row],[Status]]="DEFERRED","Done","Pending")))</f>
        <v>Done</v>
      </c>
      <c r="H41" s="2" t="s">
        <v>1027</v>
      </c>
      <c r="I41" s="2" t="s">
        <v>390</v>
      </c>
      <c r="J41" s="2" t="s">
        <v>1070</v>
      </c>
      <c r="K41" s="16">
        <v>45888</v>
      </c>
      <c r="M41" s="16">
        <v>45908</v>
      </c>
    </row>
    <row r="42" spans="1:13" x14ac:dyDescent="0.4">
      <c r="A42" s="2" t="s">
        <v>42</v>
      </c>
      <c r="B42" s="2">
        <f>VALUE(REPLACE(CustomerTable[[#This Row],[Ticket]],1,3,""))</f>
        <v>299</v>
      </c>
      <c r="C42" s="2" t="s">
        <v>1023</v>
      </c>
      <c r="D42" s="2" t="s">
        <v>2052</v>
      </c>
      <c r="F42" s="2" t="s">
        <v>398</v>
      </c>
      <c r="G42" s="2" t="str">
        <f>IF(CustomerTable[[#This Row],[Status]]="RESOLVED","Done",IF(CustomerTable[[#This Row],[Status]]="CLOSED","DONE",IF(CustomerTable[[#This Row],[Status]]="DEFERRED","Done","Pending")))</f>
        <v>Done</v>
      </c>
      <c r="H42" s="2" t="s">
        <v>1032</v>
      </c>
      <c r="I42" s="2" t="s">
        <v>390</v>
      </c>
      <c r="J42" s="2" t="s">
        <v>1071</v>
      </c>
      <c r="K42" s="16">
        <v>45889</v>
      </c>
      <c r="M42" s="16">
        <v>45902</v>
      </c>
    </row>
    <row r="43" spans="1:13" x14ac:dyDescent="0.4">
      <c r="A43" s="2" t="s">
        <v>43</v>
      </c>
      <c r="B43" s="2">
        <f>VALUE(REPLACE(CustomerTable[[#This Row],[Ticket]],1,3,""))</f>
        <v>300</v>
      </c>
      <c r="C43" s="2" t="s">
        <v>1023</v>
      </c>
      <c r="D43" s="2" t="s">
        <v>2053</v>
      </c>
      <c r="F43" s="2" t="s">
        <v>398</v>
      </c>
      <c r="G43" s="2" t="str">
        <f>IF(CustomerTable[[#This Row],[Status]]="RESOLVED","Done",IF(CustomerTable[[#This Row],[Status]]="CLOSED","DONE",IF(CustomerTable[[#This Row],[Status]]="DEFERRED","Done","Pending")))</f>
        <v>Done</v>
      </c>
      <c r="H43" s="2" t="s">
        <v>1027</v>
      </c>
      <c r="I43" s="2" t="s">
        <v>394</v>
      </c>
      <c r="J43" s="2" t="s">
        <v>1072</v>
      </c>
      <c r="K43" s="16">
        <v>45889</v>
      </c>
      <c r="M43" s="16">
        <v>45908</v>
      </c>
    </row>
    <row r="44" spans="1:13" x14ac:dyDescent="0.4">
      <c r="A44" s="2" t="s">
        <v>44</v>
      </c>
      <c r="B44" s="2">
        <f>VALUE(REPLACE(CustomerTable[[#This Row],[Ticket]],1,3,""))</f>
        <v>302</v>
      </c>
      <c r="C44" s="2" t="s">
        <v>1023</v>
      </c>
      <c r="D44" s="2" t="s">
        <v>2054</v>
      </c>
      <c r="E44" s="2" t="s">
        <v>405</v>
      </c>
      <c r="F44" s="2" t="s">
        <v>398</v>
      </c>
      <c r="G44" s="2" t="str">
        <f>IF(CustomerTable[[#This Row],[Status]]="RESOLVED","Done",IF(CustomerTable[[#This Row],[Status]]="CLOSED","DONE",IF(CustomerTable[[#This Row],[Status]]="DEFERRED","Done","Pending")))</f>
        <v>Done</v>
      </c>
      <c r="H44" s="2" t="s">
        <v>1026</v>
      </c>
      <c r="I44" s="2" t="s">
        <v>390</v>
      </c>
      <c r="J44" s="2" t="s">
        <v>1073</v>
      </c>
      <c r="K44" s="16">
        <v>45889</v>
      </c>
      <c r="M44" s="16">
        <v>45903</v>
      </c>
    </row>
    <row r="45" spans="1:13" x14ac:dyDescent="0.4">
      <c r="A45" s="2" t="s">
        <v>45</v>
      </c>
      <c r="B45" s="2">
        <f>VALUE(REPLACE(CustomerTable[[#This Row],[Ticket]],1,3,""))</f>
        <v>303</v>
      </c>
      <c r="C45" s="2" t="s">
        <v>1023</v>
      </c>
      <c r="D45" s="2" t="s">
        <v>2055</v>
      </c>
      <c r="F45" s="2" t="s">
        <v>398</v>
      </c>
      <c r="G45" s="2" t="str">
        <f>IF(CustomerTable[[#This Row],[Status]]="RESOLVED","Done",IF(CustomerTable[[#This Row],[Status]]="CLOSED","DONE",IF(CustomerTable[[#This Row],[Status]]="DEFERRED","Done","Pending")))</f>
        <v>Done</v>
      </c>
      <c r="H45" s="2" t="s">
        <v>1026</v>
      </c>
      <c r="I45" s="2" t="s">
        <v>389</v>
      </c>
      <c r="J45" s="2" t="s">
        <v>1074</v>
      </c>
      <c r="K45" s="16">
        <v>45889</v>
      </c>
      <c r="M45" s="16">
        <v>45932</v>
      </c>
    </row>
    <row r="46" spans="1:13" x14ac:dyDescent="0.4">
      <c r="A46" s="2" t="s">
        <v>46</v>
      </c>
      <c r="B46" s="2">
        <f>VALUE(REPLACE(CustomerTable[[#This Row],[Ticket]],1,3,""))</f>
        <v>304</v>
      </c>
      <c r="C46" s="2" t="s">
        <v>1023</v>
      </c>
      <c r="D46" s="2" t="s">
        <v>2056</v>
      </c>
      <c r="F46" s="2" t="s">
        <v>398</v>
      </c>
      <c r="G46" s="2" t="str">
        <f>IF(CustomerTable[[#This Row],[Status]]="RESOLVED","Done",IF(CustomerTable[[#This Row],[Status]]="CLOSED","DONE",IF(CustomerTable[[#This Row],[Status]]="DEFERRED","Done","Pending")))</f>
        <v>Done</v>
      </c>
      <c r="H46" s="2" t="s">
        <v>1025</v>
      </c>
      <c r="I46" s="2" t="s">
        <v>391</v>
      </c>
      <c r="J46" s="2" t="s">
        <v>1075</v>
      </c>
      <c r="K46" s="16">
        <v>45890</v>
      </c>
      <c r="M46" s="16">
        <v>45908</v>
      </c>
    </row>
    <row r="47" spans="1:13" x14ac:dyDescent="0.4">
      <c r="A47" s="2" t="s">
        <v>47</v>
      </c>
      <c r="B47" s="2">
        <f>VALUE(REPLACE(CustomerTable[[#This Row],[Ticket]],1,3,""))</f>
        <v>305</v>
      </c>
      <c r="C47" s="2" t="s">
        <v>1023</v>
      </c>
      <c r="D47" s="2" t="s">
        <v>2057</v>
      </c>
      <c r="F47" s="2" t="s">
        <v>398</v>
      </c>
      <c r="G47" s="2" t="str">
        <f>IF(CustomerTable[[#This Row],[Status]]="RESOLVED","Done",IF(CustomerTable[[#This Row],[Status]]="CLOSED","DONE",IF(CustomerTable[[#This Row],[Status]]="DEFERRED","Done","Pending")))</f>
        <v>Done</v>
      </c>
      <c r="H47" s="2" t="s">
        <v>1027</v>
      </c>
      <c r="I47" s="2" t="s">
        <v>389</v>
      </c>
      <c r="J47" s="2" t="s">
        <v>1076</v>
      </c>
      <c r="K47" s="16">
        <v>45890</v>
      </c>
      <c r="M47" s="16">
        <v>45908</v>
      </c>
    </row>
    <row r="48" spans="1:13" x14ac:dyDescent="0.4">
      <c r="A48" s="2" t="s">
        <v>48</v>
      </c>
      <c r="B48" s="2">
        <f>VALUE(REPLACE(CustomerTable[[#This Row],[Ticket]],1,3,""))</f>
        <v>306</v>
      </c>
      <c r="C48" s="2" t="s">
        <v>1023</v>
      </c>
      <c r="D48" s="2" t="s">
        <v>2058</v>
      </c>
      <c r="E48" s="2" t="s">
        <v>405</v>
      </c>
      <c r="F48" s="2" t="s">
        <v>398</v>
      </c>
      <c r="G48" s="2" t="str">
        <f>IF(CustomerTable[[#This Row],[Status]]="RESOLVED","Done",IF(CustomerTable[[#This Row],[Status]]="CLOSED","DONE",IF(CustomerTable[[#This Row],[Status]]="DEFERRED","Done","Pending")))</f>
        <v>Done</v>
      </c>
      <c r="H48" s="2" t="s">
        <v>1025</v>
      </c>
      <c r="I48" s="2" t="s">
        <v>392</v>
      </c>
      <c r="J48" s="2" t="s">
        <v>1077</v>
      </c>
      <c r="K48" s="16">
        <v>45890</v>
      </c>
      <c r="M48" s="16">
        <v>45948</v>
      </c>
    </row>
    <row r="49" spans="1:13" x14ac:dyDescent="0.4">
      <c r="A49" s="2" t="s">
        <v>49</v>
      </c>
      <c r="B49" s="2">
        <f>VALUE(REPLACE(CustomerTable[[#This Row],[Ticket]],1,3,""))</f>
        <v>307</v>
      </c>
      <c r="C49" s="2" t="s">
        <v>1023</v>
      </c>
      <c r="D49" s="2" t="s">
        <v>2059</v>
      </c>
      <c r="F49" s="2" t="s">
        <v>398</v>
      </c>
      <c r="G49" s="2" t="str">
        <f>IF(CustomerTable[[#This Row],[Status]]="RESOLVED","Done",IF(CustomerTable[[#This Row],[Status]]="CLOSED","DONE",IF(CustomerTable[[#This Row],[Status]]="DEFERRED","Done","Pending")))</f>
        <v>Done</v>
      </c>
      <c r="H49" s="2" t="s">
        <v>1025</v>
      </c>
      <c r="I49" s="2" t="s">
        <v>389</v>
      </c>
      <c r="J49" s="2" t="s">
        <v>1078</v>
      </c>
      <c r="K49" s="16">
        <v>45891</v>
      </c>
      <c r="M49" s="16">
        <v>46038</v>
      </c>
    </row>
    <row r="50" spans="1:13" x14ac:dyDescent="0.4">
      <c r="A50" s="2" t="s">
        <v>50</v>
      </c>
      <c r="B50" s="2">
        <f>VALUE(REPLACE(CustomerTable[[#This Row],[Ticket]],1,3,""))</f>
        <v>308</v>
      </c>
      <c r="C50" s="2" t="s">
        <v>1023</v>
      </c>
      <c r="D50" s="2" t="s">
        <v>2060</v>
      </c>
      <c r="F50" s="2" t="s">
        <v>398</v>
      </c>
      <c r="G50" s="2" t="str">
        <f>IF(CustomerTable[[#This Row],[Status]]="RESOLVED","Done",IF(CustomerTable[[#This Row],[Status]]="CLOSED","DONE",IF(CustomerTable[[#This Row],[Status]]="DEFERRED","Done","Pending")))</f>
        <v>Done</v>
      </c>
      <c r="H50" s="2" t="s">
        <v>1025</v>
      </c>
      <c r="I50" s="2" t="s">
        <v>389</v>
      </c>
      <c r="J50" s="2" t="s">
        <v>1079</v>
      </c>
      <c r="K50" s="16">
        <v>45892</v>
      </c>
      <c r="M50" s="16">
        <v>45908</v>
      </c>
    </row>
    <row r="51" spans="1:13" x14ac:dyDescent="0.4">
      <c r="A51" s="2" t="s">
        <v>51</v>
      </c>
      <c r="B51" s="2">
        <f>VALUE(REPLACE(CustomerTable[[#This Row],[Ticket]],1,3,""))</f>
        <v>309</v>
      </c>
      <c r="C51" s="2" t="s">
        <v>1023</v>
      </c>
      <c r="D51" s="2" t="s">
        <v>2061</v>
      </c>
      <c r="F51" s="2" t="s">
        <v>398</v>
      </c>
      <c r="G51" s="2" t="str">
        <f>IF(CustomerTable[[#This Row],[Status]]="RESOLVED","Done",IF(CustomerTable[[#This Row],[Status]]="CLOSED","DONE",IF(CustomerTable[[#This Row],[Status]]="DEFERRED","Done","Pending")))</f>
        <v>Done</v>
      </c>
      <c r="H51" s="2" t="s">
        <v>1025</v>
      </c>
      <c r="I51" s="2" t="s">
        <v>394</v>
      </c>
      <c r="J51" s="2" t="s">
        <v>1080</v>
      </c>
      <c r="K51" s="16">
        <v>45892</v>
      </c>
      <c r="M51" s="16">
        <v>45908</v>
      </c>
    </row>
    <row r="52" spans="1:13" x14ac:dyDescent="0.4">
      <c r="A52" s="2" t="s">
        <v>52</v>
      </c>
      <c r="B52" s="2">
        <f>VALUE(REPLACE(CustomerTable[[#This Row],[Ticket]],1,3,""))</f>
        <v>311</v>
      </c>
      <c r="C52" s="2" t="s">
        <v>1024</v>
      </c>
      <c r="D52" s="2" t="s">
        <v>2062</v>
      </c>
      <c r="E52" s="2" t="s">
        <v>405</v>
      </c>
      <c r="F52" s="2" t="s">
        <v>398</v>
      </c>
      <c r="G52" s="2" t="str">
        <f>IF(CustomerTable[[#This Row],[Status]]="RESOLVED","Done",IF(CustomerTable[[#This Row],[Status]]="CLOSED","DONE",IF(CustomerTable[[#This Row],[Status]]="DEFERRED","Done","Pending")))</f>
        <v>Done</v>
      </c>
      <c r="H52" s="2" t="s">
        <v>1025</v>
      </c>
      <c r="I52" s="2" t="s">
        <v>395</v>
      </c>
      <c r="J52" s="2" t="s">
        <v>1081</v>
      </c>
      <c r="K52" s="16">
        <v>45894</v>
      </c>
      <c r="M52" s="16">
        <v>45932</v>
      </c>
    </row>
    <row r="53" spans="1:13" x14ac:dyDescent="0.4">
      <c r="A53" s="2" t="s">
        <v>53</v>
      </c>
      <c r="B53" s="2">
        <f>VALUE(REPLACE(CustomerTable[[#This Row],[Ticket]],1,3,""))</f>
        <v>312</v>
      </c>
      <c r="C53" s="2" t="s">
        <v>1023</v>
      </c>
      <c r="D53" s="2" t="s">
        <v>2063</v>
      </c>
      <c r="F53" s="2" t="s">
        <v>398</v>
      </c>
      <c r="G53" s="2" t="str">
        <f>IF(CustomerTable[[#This Row],[Status]]="RESOLVED","Done",IF(CustomerTable[[#This Row],[Status]]="CLOSED","DONE",IF(CustomerTable[[#This Row],[Status]]="DEFERRED","Done","Pending")))</f>
        <v>Done</v>
      </c>
      <c r="H53" s="2" t="s">
        <v>1027</v>
      </c>
      <c r="I53" s="2" t="s">
        <v>389</v>
      </c>
      <c r="J53" s="2" t="s">
        <v>1082</v>
      </c>
      <c r="K53" s="16">
        <v>45894</v>
      </c>
      <c r="M53" s="16">
        <v>45933</v>
      </c>
    </row>
    <row r="54" spans="1:13" x14ac:dyDescent="0.4">
      <c r="A54" s="2" t="s">
        <v>54</v>
      </c>
      <c r="B54" s="2">
        <f>VALUE(REPLACE(CustomerTable[[#This Row],[Ticket]],1,3,""))</f>
        <v>313</v>
      </c>
      <c r="C54" s="2" t="s">
        <v>1023</v>
      </c>
      <c r="D54" s="2" t="s">
        <v>2064</v>
      </c>
      <c r="F54" s="2" t="s">
        <v>398</v>
      </c>
      <c r="G54" s="2" t="str">
        <f>IF(CustomerTable[[#This Row],[Status]]="RESOLVED","Done",IF(CustomerTable[[#This Row],[Status]]="CLOSED","DONE",IF(CustomerTable[[#This Row],[Status]]="DEFERRED","Done","Pending")))</f>
        <v>Done</v>
      </c>
      <c r="H54" s="2" t="s">
        <v>1027</v>
      </c>
      <c r="I54" s="2" t="s">
        <v>393</v>
      </c>
      <c r="J54" s="2" t="s">
        <v>1083</v>
      </c>
      <c r="K54" s="16">
        <v>45895</v>
      </c>
      <c r="M54" s="16">
        <v>45902</v>
      </c>
    </row>
    <row r="55" spans="1:13" x14ac:dyDescent="0.4">
      <c r="A55" s="2" t="s">
        <v>55</v>
      </c>
      <c r="B55" s="2">
        <f>VALUE(REPLACE(CustomerTable[[#This Row],[Ticket]],1,3,""))</f>
        <v>314</v>
      </c>
      <c r="C55" s="2" t="s">
        <v>1023</v>
      </c>
      <c r="D55" s="2" t="s">
        <v>2065</v>
      </c>
      <c r="F55" s="2" t="s">
        <v>398</v>
      </c>
      <c r="G55" s="2" t="str">
        <f>IF(CustomerTable[[#This Row],[Status]]="RESOLVED","Done",IF(CustomerTable[[#This Row],[Status]]="CLOSED","DONE",IF(CustomerTable[[#This Row],[Status]]="DEFERRED","Done","Pending")))</f>
        <v>Done</v>
      </c>
      <c r="H55" s="2" t="s">
        <v>1027</v>
      </c>
      <c r="I55" s="2" t="s">
        <v>390</v>
      </c>
      <c r="J55" s="2" t="s">
        <v>1084</v>
      </c>
      <c r="K55" s="16">
        <v>45895</v>
      </c>
      <c r="M55" s="16">
        <v>45904</v>
      </c>
    </row>
    <row r="56" spans="1:13" x14ac:dyDescent="0.4">
      <c r="A56" s="2" t="s">
        <v>56</v>
      </c>
      <c r="B56" s="2">
        <f>VALUE(REPLACE(CustomerTable[[#This Row],[Ticket]],1,3,""))</f>
        <v>315</v>
      </c>
      <c r="C56" s="2" t="s">
        <v>1023</v>
      </c>
      <c r="D56" s="2" t="s">
        <v>2066</v>
      </c>
      <c r="F56" s="2" t="s">
        <v>398</v>
      </c>
      <c r="G56" s="2" t="str">
        <f>IF(CustomerTable[[#This Row],[Status]]="RESOLVED","Done",IF(CustomerTable[[#This Row],[Status]]="CLOSED","DONE",IF(CustomerTable[[#This Row],[Status]]="DEFERRED","Done","Pending")))</f>
        <v>Done</v>
      </c>
      <c r="H56" s="2" t="s">
        <v>1027</v>
      </c>
      <c r="I56" s="2" t="s">
        <v>389</v>
      </c>
      <c r="J56" s="2" t="s">
        <v>1085</v>
      </c>
      <c r="K56" s="16">
        <v>45895</v>
      </c>
      <c r="M56" s="16">
        <v>45903</v>
      </c>
    </row>
    <row r="57" spans="1:13" x14ac:dyDescent="0.4">
      <c r="A57" s="2" t="s">
        <v>57</v>
      </c>
      <c r="B57" s="2">
        <f>VALUE(REPLACE(CustomerTable[[#This Row],[Ticket]],1,3,""))</f>
        <v>316</v>
      </c>
      <c r="C57" s="2" t="s">
        <v>1023</v>
      </c>
      <c r="D57" s="2" t="s">
        <v>2067</v>
      </c>
      <c r="F57" s="2" t="s">
        <v>398</v>
      </c>
      <c r="G57" s="2" t="str">
        <f>IF(CustomerTable[[#This Row],[Status]]="RESOLVED","Done",IF(CustomerTable[[#This Row],[Status]]="CLOSED","DONE",IF(CustomerTable[[#This Row],[Status]]="DEFERRED","Done","Pending")))</f>
        <v>Done</v>
      </c>
      <c r="H57" s="2" t="s">
        <v>1027</v>
      </c>
      <c r="I57" s="2" t="s">
        <v>389</v>
      </c>
      <c r="J57" s="2" t="s">
        <v>1086</v>
      </c>
      <c r="K57" s="16">
        <v>45896</v>
      </c>
      <c r="M57" s="16">
        <v>45908</v>
      </c>
    </row>
    <row r="58" spans="1:13" x14ac:dyDescent="0.4">
      <c r="A58" s="2" t="s">
        <v>58</v>
      </c>
      <c r="B58" s="2">
        <f>VALUE(REPLACE(CustomerTable[[#This Row],[Ticket]],1,3,""))</f>
        <v>317</v>
      </c>
      <c r="C58" s="2" t="s">
        <v>1023</v>
      </c>
      <c r="D58" s="2" t="s">
        <v>2068</v>
      </c>
      <c r="F58" s="2" t="s">
        <v>398</v>
      </c>
      <c r="G58" s="2" t="str">
        <f>IF(CustomerTable[[#This Row],[Status]]="RESOLVED","Done",IF(CustomerTable[[#This Row],[Status]]="CLOSED","DONE",IF(CustomerTable[[#This Row],[Status]]="DEFERRED","Done","Pending")))</f>
        <v>Done</v>
      </c>
      <c r="H58" s="2" t="s">
        <v>1032</v>
      </c>
      <c r="I58" s="2" t="s">
        <v>394</v>
      </c>
      <c r="J58" s="2" t="s">
        <v>1087</v>
      </c>
      <c r="K58" s="16">
        <v>45896</v>
      </c>
      <c r="M58" s="16">
        <v>45932</v>
      </c>
    </row>
    <row r="59" spans="1:13" x14ac:dyDescent="0.4">
      <c r="A59" s="2" t="s">
        <v>59</v>
      </c>
      <c r="B59" s="2">
        <f>VALUE(REPLACE(CustomerTable[[#This Row],[Ticket]],1,3,""))</f>
        <v>318</v>
      </c>
      <c r="C59" s="2" t="s">
        <v>1023</v>
      </c>
      <c r="D59" s="2" t="s">
        <v>2069</v>
      </c>
      <c r="F59" s="2" t="s">
        <v>398</v>
      </c>
      <c r="G59" s="2" t="str">
        <f>IF(CustomerTable[[#This Row],[Status]]="RESOLVED","Done",IF(CustomerTable[[#This Row],[Status]]="CLOSED","DONE",IF(CustomerTable[[#This Row],[Status]]="DEFERRED","Done","Pending")))</f>
        <v>Done</v>
      </c>
      <c r="H59" s="2" t="s">
        <v>1027</v>
      </c>
      <c r="I59" s="2" t="s">
        <v>392</v>
      </c>
      <c r="J59" s="2" t="s">
        <v>1088</v>
      </c>
      <c r="K59" s="16">
        <v>45896</v>
      </c>
      <c r="M59" s="16">
        <v>45908</v>
      </c>
    </row>
    <row r="60" spans="1:13" x14ac:dyDescent="0.4">
      <c r="A60" s="2" t="s">
        <v>60</v>
      </c>
      <c r="B60" s="2">
        <f>VALUE(REPLACE(CustomerTable[[#This Row],[Ticket]],1,3,""))</f>
        <v>320</v>
      </c>
      <c r="C60" s="2" t="s">
        <v>1023</v>
      </c>
      <c r="D60" s="2" t="s">
        <v>2070</v>
      </c>
      <c r="F60" s="2" t="s">
        <v>398</v>
      </c>
      <c r="G60" s="2" t="str">
        <f>IF(CustomerTable[[#This Row],[Status]]="RESOLVED","Done",IF(CustomerTable[[#This Row],[Status]]="CLOSED","DONE",IF(CustomerTable[[#This Row],[Status]]="DEFERRED","Done","Pending")))</f>
        <v>Done</v>
      </c>
      <c r="H60" s="2" t="s">
        <v>1031</v>
      </c>
      <c r="I60" s="2" t="s">
        <v>393</v>
      </c>
      <c r="J60" s="2" t="s">
        <v>1089</v>
      </c>
      <c r="K60" s="16">
        <v>45897</v>
      </c>
      <c r="M60" s="16">
        <v>45908</v>
      </c>
    </row>
    <row r="61" spans="1:13" x14ac:dyDescent="0.4">
      <c r="A61" s="2" t="s">
        <v>61</v>
      </c>
      <c r="B61" s="2">
        <f>VALUE(REPLACE(CustomerTable[[#This Row],[Ticket]],1,3,""))</f>
        <v>321</v>
      </c>
      <c r="C61" s="2" t="s">
        <v>1023</v>
      </c>
      <c r="D61" s="2" t="s">
        <v>2071</v>
      </c>
      <c r="F61" s="2" t="s">
        <v>398</v>
      </c>
      <c r="G61" s="2" t="str">
        <f>IF(CustomerTable[[#This Row],[Status]]="RESOLVED","Done",IF(CustomerTable[[#This Row],[Status]]="CLOSED","DONE",IF(CustomerTable[[#This Row],[Status]]="DEFERRED","Done","Pending")))</f>
        <v>Done</v>
      </c>
      <c r="H61" s="2" t="s">
        <v>1027</v>
      </c>
      <c r="I61" s="2" t="s">
        <v>389</v>
      </c>
      <c r="J61" s="2" t="s">
        <v>1090</v>
      </c>
      <c r="K61" s="16">
        <v>45898</v>
      </c>
      <c r="M61" s="16">
        <v>45912</v>
      </c>
    </row>
    <row r="62" spans="1:13" x14ac:dyDescent="0.4">
      <c r="A62" s="2" t="s">
        <v>62</v>
      </c>
      <c r="B62" s="2">
        <f>VALUE(REPLACE(CustomerTable[[#This Row],[Ticket]],1,3,""))</f>
        <v>322</v>
      </c>
      <c r="C62" s="2" t="s">
        <v>1023</v>
      </c>
      <c r="D62" s="2" t="s">
        <v>2072</v>
      </c>
      <c r="F62" s="2" t="s">
        <v>398</v>
      </c>
      <c r="G62" s="2" t="str">
        <f>IF(CustomerTable[[#This Row],[Status]]="RESOLVED","Done",IF(CustomerTable[[#This Row],[Status]]="CLOSED","DONE",IF(CustomerTable[[#This Row],[Status]]="DEFERRED","Done","Pending")))</f>
        <v>Done</v>
      </c>
      <c r="H62" s="2" t="s">
        <v>1027</v>
      </c>
      <c r="I62" s="2" t="s">
        <v>389</v>
      </c>
      <c r="J62" s="2" t="s">
        <v>1091</v>
      </c>
      <c r="K62" s="16">
        <v>45898</v>
      </c>
      <c r="M62" s="16">
        <v>45904</v>
      </c>
    </row>
    <row r="63" spans="1:13" x14ac:dyDescent="0.4">
      <c r="A63" s="2" t="s">
        <v>63</v>
      </c>
      <c r="B63" s="2">
        <f>VALUE(REPLACE(CustomerTable[[#This Row],[Ticket]],1,3,""))</f>
        <v>323</v>
      </c>
      <c r="C63" s="2" t="s">
        <v>1023</v>
      </c>
      <c r="D63" s="2" t="s">
        <v>2073</v>
      </c>
      <c r="F63" s="2" t="s">
        <v>398</v>
      </c>
      <c r="G63" s="2" t="str">
        <f>IF(CustomerTable[[#This Row],[Status]]="RESOLVED","Done",IF(CustomerTable[[#This Row],[Status]]="CLOSED","DONE",IF(CustomerTable[[#This Row],[Status]]="DEFERRED","Done","Pending")))</f>
        <v>Done</v>
      </c>
      <c r="H63" s="2" t="s">
        <v>1025</v>
      </c>
      <c r="I63" s="2" t="s">
        <v>389</v>
      </c>
      <c r="J63" s="2" t="s">
        <v>1092</v>
      </c>
      <c r="K63" s="16">
        <v>45898</v>
      </c>
      <c r="M63" s="16">
        <v>45985</v>
      </c>
    </row>
    <row r="64" spans="1:13" x14ac:dyDescent="0.4">
      <c r="A64" s="2" t="s">
        <v>64</v>
      </c>
      <c r="B64" s="2">
        <f>VALUE(REPLACE(CustomerTable[[#This Row],[Ticket]],1,3,""))</f>
        <v>324</v>
      </c>
      <c r="C64" s="2" t="s">
        <v>1023</v>
      </c>
      <c r="D64" s="2" t="s">
        <v>2074</v>
      </c>
      <c r="F64" s="2" t="s">
        <v>398</v>
      </c>
      <c r="G64" s="2" t="str">
        <f>IF(CustomerTable[[#This Row],[Status]]="RESOLVED","Done",IF(CustomerTable[[#This Row],[Status]]="CLOSED","DONE",IF(CustomerTable[[#This Row],[Status]]="DEFERRED","Done","Pending")))</f>
        <v>Done</v>
      </c>
      <c r="H64" s="2" t="s">
        <v>1027</v>
      </c>
      <c r="I64" s="2" t="s">
        <v>389</v>
      </c>
      <c r="J64" s="2" t="s">
        <v>1093</v>
      </c>
      <c r="K64" s="16">
        <v>45901</v>
      </c>
      <c r="M64" s="16">
        <v>45912</v>
      </c>
    </row>
    <row r="65" spans="1:13" x14ac:dyDescent="0.4">
      <c r="A65" s="2" t="s">
        <v>65</v>
      </c>
      <c r="B65" s="2">
        <f>VALUE(REPLACE(CustomerTable[[#This Row],[Ticket]],1,3,""))</f>
        <v>325</v>
      </c>
      <c r="C65" s="2" t="s">
        <v>1023</v>
      </c>
      <c r="D65" s="2" t="s">
        <v>2075</v>
      </c>
      <c r="F65" s="2" t="s">
        <v>398</v>
      </c>
      <c r="G65" s="2" t="str">
        <f>IF(CustomerTable[[#This Row],[Status]]="RESOLVED","Done",IF(CustomerTable[[#This Row],[Status]]="CLOSED","DONE",IF(CustomerTable[[#This Row],[Status]]="DEFERRED","Done","Pending")))</f>
        <v>Done</v>
      </c>
      <c r="H65" s="2" t="s">
        <v>1027</v>
      </c>
      <c r="I65" s="2" t="s">
        <v>392</v>
      </c>
      <c r="J65" s="2" t="s">
        <v>1094</v>
      </c>
      <c r="K65" s="16">
        <v>45901</v>
      </c>
      <c r="M65" s="16">
        <v>45903</v>
      </c>
    </row>
    <row r="66" spans="1:13" x14ac:dyDescent="0.4">
      <c r="A66" s="2" t="s">
        <v>66</v>
      </c>
      <c r="B66" s="2">
        <f>VALUE(REPLACE(CustomerTable[[#This Row],[Ticket]],1,3,""))</f>
        <v>326</v>
      </c>
      <c r="C66" s="2" t="s">
        <v>1023</v>
      </c>
      <c r="D66" s="2" t="s">
        <v>2076</v>
      </c>
      <c r="F66" s="2" t="s">
        <v>398</v>
      </c>
      <c r="G66" s="2" t="str">
        <f>IF(CustomerTable[[#This Row],[Status]]="RESOLVED","Done",IF(CustomerTable[[#This Row],[Status]]="CLOSED","DONE",IF(CustomerTable[[#This Row],[Status]]="DEFERRED","Done","Pending")))</f>
        <v>Done</v>
      </c>
      <c r="H66" s="2" t="s">
        <v>1032</v>
      </c>
      <c r="I66" s="2" t="s">
        <v>391</v>
      </c>
      <c r="J66" s="2" t="s">
        <v>1095</v>
      </c>
      <c r="K66" s="16">
        <v>45901</v>
      </c>
      <c r="M66" s="16">
        <v>45934</v>
      </c>
    </row>
    <row r="67" spans="1:13" x14ac:dyDescent="0.4">
      <c r="A67" s="2" t="s">
        <v>67</v>
      </c>
      <c r="B67" s="2">
        <f>VALUE(REPLACE(CustomerTable[[#This Row],[Ticket]],1,3,""))</f>
        <v>327</v>
      </c>
      <c r="C67" s="2" t="s">
        <v>1023</v>
      </c>
      <c r="D67" s="2" t="s">
        <v>2077</v>
      </c>
      <c r="F67" s="2" t="s">
        <v>398</v>
      </c>
      <c r="G67" s="2" t="str">
        <f>IF(CustomerTable[[#This Row],[Status]]="RESOLVED","Done",IF(CustomerTable[[#This Row],[Status]]="CLOSED","DONE",IF(CustomerTable[[#This Row],[Status]]="DEFERRED","Done","Pending")))</f>
        <v>Done</v>
      </c>
      <c r="H67" s="2" t="s">
        <v>1027</v>
      </c>
      <c r="I67" s="2" t="s">
        <v>389</v>
      </c>
      <c r="J67" s="2" t="s">
        <v>1096</v>
      </c>
      <c r="K67" s="16">
        <v>45901</v>
      </c>
      <c r="M67" s="16">
        <v>45906</v>
      </c>
    </row>
    <row r="68" spans="1:13" x14ac:dyDescent="0.4">
      <c r="A68" s="2" t="s">
        <v>68</v>
      </c>
      <c r="B68" s="2">
        <f>VALUE(REPLACE(CustomerTable[[#This Row],[Ticket]],1,3,""))</f>
        <v>328</v>
      </c>
      <c r="C68" s="2" t="s">
        <v>1023</v>
      </c>
      <c r="D68" s="2" t="s">
        <v>2078</v>
      </c>
      <c r="F68" s="2" t="s">
        <v>398</v>
      </c>
      <c r="G68" s="2" t="str">
        <f>IF(CustomerTable[[#This Row],[Status]]="RESOLVED","Done",IF(CustomerTable[[#This Row],[Status]]="CLOSED","DONE",IF(CustomerTable[[#This Row],[Status]]="DEFERRED","Done","Pending")))</f>
        <v>Done</v>
      </c>
      <c r="H68" s="2" t="s">
        <v>1025</v>
      </c>
      <c r="I68" s="2" t="s">
        <v>391</v>
      </c>
      <c r="J68" s="2" t="s">
        <v>1097</v>
      </c>
      <c r="K68" s="16">
        <v>45902</v>
      </c>
      <c r="M68" s="16">
        <v>45909</v>
      </c>
    </row>
    <row r="69" spans="1:13" x14ac:dyDescent="0.4">
      <c r="A69" s="2" t="s">
        <v>69</v>
      </c>
      <c r="B69" s="2">
        <f>VALUE(REPLACE(CustomerTable[[#This Row],[Ticket]],1,3,""))</f>
        <v>329</v>
      </c>
      <c r="C69" s="2" t="s">
        <v>1023</v>
      </c>
      <c r="D69" s="2" t="s">
        <v>2079</v>
      </c>
      <c r="F69" s="2" t="s">
        <v>398</v>
      </c>
      <c r="G69" s="2" t="str">
        <f>IF(CustomerTable[[#This Row],[Status]]="RESOLVED","Done",IF(CustomerTable[[#This Row],[Status]]="CLOSED","DONE",IF(CustomerTable[[#This Row],[Status]]="DEFERRED","Done","Pending")))</f>
        <v>Done</v>
      </c>
      <c r="H69" s="2" t="s">
        <v>1027</v>
      </c>
      <c r="I69" s="2" t="s">
        <v>395</v>
      </c>
      <c r="J69" s="2" t="s">
        <v>1098</v>
      </c>
      <c r="K69" s="16">
        <v>45902</v>
      </c>
      <c r="M69" s="16">
        <v>45908</v>
      </c>
    </row>
    <row r="70" spans="1:13" x14ac:dyDescent="0.4">
      <c r="A70" s="2" t="s">
        <v>70</v>
      </c>
      <c r="B70" s="2">
        <f>VALUE(REPLACE(CustomerTable[[#This Row],[Ticket]],1,3,""))</f>
        <v>330</v>
      </c>
      <c r="C70" s="2" t="s">
        <v>1023</v>
      </c>
      <c r="D70" s="2" t="s">
        <v>2080</v>
      </c>
      <c r="F70" s="2" t="s">
        <v>398</v>
      </c>
      <c r="G70" s="2" t="str">
        <f>IF(CustomerTable[[#This Row],[Status]]="RESOLVED","Done",IF(CustomerTable[[#This Row],[Status]]="CLOSED","DONE",IF(CustomerTable[[#This Row],[Status]]="DEFERRED","Done","Pending")))</f>
        <v>Done</v>
      </c>
      <c r="H70" s="2" t="s">
        <v>1025</v>
      </c>
      <c r="I70" s="2" t="s">
        <v>389</v>
      </c>
      <c r="J70" s="2" t="s">
        <v>1099</v>
      </c>
      <c r="K70" s="16">
        <v>45902</v>
      </c>
      <c r="M70" s="16">
        <v>45932</v>
      </c>
    </row>
    <row r="71" spans="1:13" x14ac:dyDescent="0.4">
      <c r="A71" s="2" t="s">
        <v>71</v>
      </c>
      <c r="B71" s="2">
        <f>VALUE(REPLACE(CustomerTable[[#This Row],[Ticket]],1,3,""))</f>
        <v>331</v>
      </c>
      <c r="C71" s="2" t="s">
        <v>1023</v>
      </c>
      <c r="D71" s="2" t="s">
        <v>2081</v>
      </c>
      <c r="F71" s="2" t="s">
        <v>398</v>
      </c>
      <c r="G71" s="2" t="str">
        <f>IF(CustomerTable[[#This Row],[Status]]="RESOLVED","Done",IF(CustomerTable[[#This Row],[Status]]="CLOSED","DONE",IF(CustomerTable[[#This Row],[Status]]="DEFERRED","Done","Pending")))</f>
        <v>Done</v>
      </c>
      <c r="H71" s="2" t="s">
        <v>1032</v>
      </c>
      <c r="I71" s="2" t="s">
        <v>389</v>
      </c>
      <c r="J71" s="2" t="s">
        <v>1100</v>
      </c>
      <c r="K71" s="16">
        <v>45902</v>
      </c>
      <c r="M71" s="16">
        <v>46006</v>
      </c>
    </row>
    <row r="72" spans="1:13" x14ac:dyDescent="0.4">
      <c r="A72" s="2" t="s">
        <v>72</v>
      </c>
      <c r="B72" s="2">
        <f>VALUE(REPLACE(CustomerTable[[#This Row],[Ticket]],1,3,""))</f>
        <v>332</v>
      </c>
      <c r="C72" s="2" t="s">
        <v>1023</v>
      </c>
      <c r="D72" s="2" t="s">
        <v>2082</v>
      </c>
      <c r="F72" s="2" t="s">
        <v>398</v>
      </c>
      <c r="G72" s="2" t="str">
        <f>IF(CustomerTable[[#This Row],[Status]]="RESOLVED","Done",IF(CustomerTable[[#This Row],[Status]]="CLOSED","DONE",IF(CustomerTable[[#This Row],[Status]]="DEFERRED","Done","Pending")))</f>
        <v>Done</v>
      </c>
      <c r="H72" s="2" t="s">
        <v>1027</v>
      </c>
      <c r="I72" s="2" t="s">
        <v>389</v>
      </c>
      <c r="J72" s="2" t="s">
        <v>1101</v>
      </c>
      <c r="K72" s="16">
        <v>45902</v>
      </c>
      <c r="M72" s="16">
        <v>46064</v>
      </c>
    </row>
    <row r="73" spans="1:13" x14ac:dyDescent="0.4">
      <c r="A73" s="2" t="s">
        <v>73</v>
      </c>
      <c r="B73" s="2">
        <f>VALUE(REPLACE(CustomerTable[[#This Row],[Ticket]],1,3,""))</f>
        <v>333</v>
      </c>
      <c r="C73" s="2" t="s">
        <v>1023</v>
      </c>
      <c r="D73" s="2" t="s">
        <v>2083</v>
      </c>
      <c r="F73" s="2" t="s">
        <v>398</v>
      </c>
      <c r="G73" s="2" t="str">
        <f>IF(CustomerTable[[#This Row],[Status]]="RESOLVED","Done",IF(CustomerTable[[#This Row],[Status]]="CLOSED","DONE",IF(CustomerTable[[#This Row],[Status]]="DEFERRED","Done","Pending")))</f>
        <v>Done</v>
      </c>
      <c r="H73" s="2" t="s">
        <v>1032</v>
      </c>
      <c r="I73" s="2" t="s">
        <v>395</v>
      </c>
      <c r="J73" s="2" t="s">
        <v>1102</v>
      </c>
      <c r="K73" s="16">
        <v>45903</v>
      </c>
      <c r="M73" s="16">
        <v>45934</v>
      </c>
    </row>
    <row r="74" spans="1:13" x14ac:dyDescent="0.4">
      <c r="A74" s="2" t="s">
        <v>74</v>
      </c>
      <c r="B74" s="2">
        <f>VALUE(REPLACE(CustomerTable[[#This Row],[Ticket]],1,3,""))</f>
        <v>334</v>
      </c>
      <c r="C74" s="2" t="s">
        <v>1023</v>
      </c>
      <c r="D74" s="2" t="s">
        <v>2084</v>
      </c>
      <c r="F74" s="2" t="s">
        <v>398</v>
      </c>
      <c r="G74" s="2" t="str">
        <f>IF(CustomerTable[[#This Row],[Status]]="RESOLVED","Done",IF(CustomerTable[[#This Row],[Status]]="CLOSED","DONE",IF(CustomerTable[[#This Row],[Status]]="DEFERRED","Done","Pending")))</f>
        <v>Done</v>
      </c>
      <c r="H74" s="2" t="s">
        <v>1027</v>
      </c>
      <c r="I74" s="2" t="s">
        <v>395</v>
      </c>
      <c r="J74" s="2" t="s">
        <v>1103</v>
      </c>
      <c r="K74" s="16">
        <v>45903</v>
      </c>
      <c r="M74" s="16">
        <v>45918</v>
      </c>
    </row>
    <row r="75" spans="1:13" x14ac:dyDescent="0.4">
      <c r="A75" s="2" t="s">
        <v>75</v>
      </c>
      <c r="B75" s="2">
        <f>VALUE(REPLACE(CustomerTable[[#This Row],[Ticket]],1,3,""))</f>
        <v>335</v>
      </c>
      <c r="C75" s="2" t="s">
        <v>1023</v>
      </c>
      <c r="D75" s="2" t="s">
        <v>2085</v>
      </c>
      <c r="F75" s="2" t="s">
        <v>398</v>
      </c>
      <c r="G75" s="2" t="str">
        <f>IF(CustomerTable[[#This Row],[Status]]="RESOLVED","Done",IF(CustomerTable[[#This Row],[Status]]="CLOSED","DONE",IF(CustomerTable[[#This Row],[Status]]="DEFERRED","Done","Pending")))</f>
        <v>Done</v>
      </c>
      <c r="H75" s="2" t="s">
        <v>11</v>
      </c>
      <c r="I75" s="2" t="s">
        <v>395</v>
      </c>
      <c r="J75" s="2" t="s">
        <v>1104</v>
      </c>
      <c r="K75" s="16">
        <v>45904</v>
      </c>
      <c r="M75" s="16">
        <v>46038</v>
      </c>
    </row>
    <row r="76" spans="1:13" x14ac:dyDescent="0.4">
      <c r="A76" s="2" t="s">
        <v>76</v>
      </c>
      <c r="B76" s="2">
        <f>VALUE(REPLACE(CustomerTable[[#This Row],[Ticket]],1,3,""))</f>
        <v>336</v>
      </c>
      <c r="C76" s="2" t="s">
        <v>1023</v>
      </c>
      <c r="D76" s="2" t="s">
        <v>2086</v>
      </c>
      <c r="F76" s="2" t="s">
        <v>398</v>
      </c>
      <c r="G76" s="2" t="str">
        <f>IF(CustomerTable[[#This Row],[Status]]="RESOLVED","Done",IF(CustomerTable[[#This Row],[Status]]="CLOSED","DONE",IF(CustomerTable[[#This Row],[Status]]="DEFERRED","Done","Pending")))</f>
        <v>Done</v>
      </c>
      <c r="H76" s="2" t="s">
        <v>1027</v>
      </c>
      <c r="I76" s="2" t="s">
        <v>389</v>
      </c>
      <c r="J76" s="2" t="s">
        <v>1105</v>
      </c>
      <c r="K76" s="16">
        <v>45904</v>
      </c>
      <c r="M76" s="16">
        <v>45908</v>
      </c>
    </row>
    <row r="77" spans="1:13" x14ac:dyDescent="0.4">
      <c r="A77" s="2" t="s">
        <v>77</v>
      </c>
      <c r="B77" s="2">
        <f>VALUE(REPLACE(CustomerTable[[#This Row],[Ticket]],1,3,""))</f>
        <v>337</v>
      </c>
      <c r="C77" s="2" t="s">
        <v>1023</v>
      </c>
      <c r="D77" s="2" t="s">
        <v>2087</v>
      </c>
      <c r="F77" s="2" t="s">
        <v>398</v>
      </c>
      <c r="G77" s="2" t="str">
        <f>IF(CustomerTable[[#This Row],[Status]]="RESOLVED","Done",IF(CustomerTable[[#This Row],[Status]]="CLOSED","DONE",IF(CustomerTable[[#This Row],[Status]]="DEFERRED","Done","Pending")))</f>
        <v>Done</v>
      </c>
      <c r="H77" s="2" t="s">
        <v>1027</v>
      </c>
      <c r="I77" s="2" t="s">
        <v>389</v>
      </c>
      <c r="J77" s="2" t="s">
        <v>1106</v>
      </c>
      <c r="K77" s="16">
        <v>45904</v>
      </c>
      <c r="M77" s="16">
        <v>45918</v>
      </c>
    </row>
    <row r="78" spans="1:13" x14ac:dyDescent="0.4">
      <c r="A78" s="2" t="s">
        <v>78</v>
      </c>
      <c r="B78" s="2">
        <f>VALUE(REPLACE(CustomerTable[[#This Row],[Ticket]],1,3,""))</f>
        <v>338</v>
      </c>
      <c r="C78" s="2" t="s">
        <v>1023</v>
      </c>
      <c r="D78" s="2" t="s">
        <v>2088</v>
      </c>
      <c r="F78" s="2" t="s">
        <v>398</v>
      </c>
      <c r="G78" s="2" t="str">
        <f>IF(CustomerTable[[#This Row],[Status]]="RESOLVED","Done",IF(CustomerTable[[#This Row],[Status]]="CLOSED","DONE",IF(CustomerTable[[#This Row],[Status]]="DEFERRED","Done","Pending")))</f>
        <v>Done</v>
      </c>
      <c r="H78" s="2" t="s">
        <v>1032</v>
      </c>
      <c r="I78" s="2" t="s">
        <v>393</v>
      </c>
      <c r="J78" s="2" t="s">
        <v>1107</v>
      </c>
      <c r="K78" s="16">
        <v>45904</v>
      </c>
      <c r="M78" s="16">
        <v>45936</v>
      </c>
    </row>
    <row r="79" spans="1:13" x14ac:dyDescent="0.4">
      <c r="A79" s="2" t="s">
        <v>79</v>
      </c>
      <c r="B79" s="2">
        <f>VALUE(REPLACE(CustomerTable[[#This Row],[Ticket]],1,3,""))</f>
        <v>339</v>
      </c>
      <c r="C79" s="2" t="s">
        <v>1023</v>
      </c>
      <c r="D79" s="2" t="s">
        <v>2089</v>
      </c>
      <c r="F79" s="2" t="s">
        <v>398</v>
      </c>
      <c r="G79" s="2" t="str">
        <f>IF(CustomerTable[[#This Row],[Status]]="RESOLVED","Done",IF(CustomerTable[[#This Row],[Status]]="CLOSED","DONE",IF(CustomerTable[[#This Row],[Status]]="DEFERRED","Done","Pending")))</f>
        <v>Done</v>
      </c>
      <c r="H79" s="2" t="s">
        <v>11</v>
      </c>
      <c r="I79" s="2" t="s">
        <v>395</v>
      </c>
      <c r="J79" s="2" t="s">
        <v>1108</v>
      </c>
      <c r="K79" s="16">
        <v>45904</v>
      </c>
      <c r="M79" s="16">
        <v>45932</v>
      </c>
    </row>
    <row r="80" spans="1:13" x14ac:dyDescent="0.4">
      <c r="A80" s="2" t="s">
        <v>80</v>
      </c>
      <c r="B80" s="2">
        <f>VALUE(REPLACE(CustomerTable[[#This Row],[Ticket]],1,3,""))</f>
        <v>340</v>
      </c>
      <c r="C80" s="2" t="s">
        <v>1023</v>
      </c>
      <c r="D80" s="2" t="s">
        <v>2090</v>
      </c>
      <c r="F80" s="2" t="s">
        <v>398</v>
      </c>
      <c r="G80" s="2" t="str">
        <f>IF(CustomerTable[[#This Row],[Status]]="RESOLVED","Done",IF(CustomerTable[[#This Row],[Status]]="CLOSED","DONE",IF(CustomerTable[[#This Row],[Status]]="DEFERRED","Done","Pending")))</f>
        <v>Done</v>
      </c>
      <c r="H80" s="2" t="s">
        <v>11</v>
      </c>
      <c r="I80" s="2" t="s">
        <v>392</v>
      </c>
      <c r="J80" s="2" t="s">
        <v>1109</v>
      </c>
      <c r="K80" s="16">
        <v>45904</v>
      </c>
      <c r="M80" s="16">
        <v>45905</v>
      </c>
    </row>
    <row r="81" spans="1:13" x14ac:dyDescent="0.4">
      <c r="A81" s="2" t="s">
        <v>81</v>
      </c>
      <c r="B81" s="2">
        <f>VALUE(REPLACE(CustomerTable[[#This Row],[Ticket]],1,3,""))</f>
        <v>341</v>
      </c>
      <c r="C81" s="2" t="s">
        <v>1023</v>
      </c>
      <c r="D81" s="2" t="s">
        <v>2091</v>
      </c>
      <c r="F81" s="2" t="s">
        <v>398</v>
      </c>
      <c r="G81" s="2" t="str">
        <f>IF(CustomerTable[[#This Row],[Status]]="RESOLVED","Done",IF(CustomerTable[[#This Row],[Status]]="CLOSED","DONE",IF(CustomerTable[[#This Row],[Status]]="DEFERRED","Done","Pending")))</f>
        <v>Done</v>
      </c>
      <c r="H81" s="2" t="s">
        <v>1027</v>
      </c>
      <c r="I81" s="2" t="s">
        <v>389</v>
      </c>
      <c r="J81" s="2" t="s">
        <v>1110</v>
      </c>
      <c r="K81" s="16">
        <v>45905</v>
      </c>
      <c r="M81" s="16">
        <v>45934</v>
      </c>
    </row>
    <row r="82" spans="1:13" x14ac:dyDescent="0.4">
      <c r="A82" s="2" t="s">
        <v>82</v>
      </c>
      <c r="B82" s="2">
        <f>VALUE(REPLACE(CustomerTable[[#This Row],[Ticket]],1,3,""))</f>
        <v>342</v>
      </c>
      <c r="C82" s="2" t="s">
        <v>1023</v>
      </c>
      <c r="D82" s="2" t="s">
        <v>2092</v>
      </c>
      <c r="F82" s="2" t="s">
        <v>398</v>
      </c>
      <c r="G82" s="2" t="str">
        <f>IF(CustomerTable[[#This Row],[Status]]="RESOLVED","Done",IF(CustomerTable[[#This Row],[Status]]="CLOSED","DONE",IF(CustomerTable[[#This Row],[Status]]="DEFERRED","Done","Pending")))</f>
        <v>Done</v>
      </c>
      <c r="H82" s="2" t="s">
        <v>1027</v>
      </c>
      <c r="I82" s="2" t="s">
        <v>390</v>
      </c>
      <c r="J82" s="2" t="s">
        <v>1111</v>
      </c>
      <c r="K82" s="16">
        <v>45905</v>
      </c>
      <c r="M82" s="16">
        <v>45909</v>
      </c>
    </row>
    <row r="83" spans="1:13" x14ac:dyDescent="0.4">
      <c r="A83" s="2" t="s">
        <v>83</v>
      </c>
      <c r="B83" s="2">
        <f>VALUE(REPLACE(CustomerTable[[#This Row],[Ticket]],1,3,""))</f>
        <v>343</v>
      </c>
      <c r="C83" s="2" t="s">
        <v>1023</v>
      </c>
      <c r="D83" s="2" t="s">
        <v>2093</v>
      </c>
      <c r="F83" s="2" t="s">
        <v>398</v>
      </c>
      <c r="G83" s="2" t="str">
        <f>IF(CustomerTable[[#This Row],[Status]]="RESOLVED","Done",IF(CustomerTable[[#This Row],[Status]]="CLOSED","DONE",IF(CustomerTable[[#This Row],[Status]]="DEFERRED","Done","Pending")))</f>
        <v>Done</v>
      </c>
      <c r="H83" s="2" t="s">
        <v>11</v>
      </c>
      <c r="I83" s="2" t="s">
        <v>388</v>
      </c>
      <c r="J83" s="2" t="s">
        <v>1112</v>
      </c>
      <c r="K83" s="16">
        <v>45908</v>
      </c>
      <c r="M83" s="16">
        <v>46038</v>
      </c>
    </row>
    <row r="84" spans="1:13" x14ac:dyDescent="0.4">
      <c r="A84" s="2" t="s">
        <v>84</v>
      </c>
      <c r="B84" s="2">
        <f>VALUE(REPLACE(CustomerTable[[#This Row],[Ticket]],1,3,""))</f>
        <v>344</v>
      </c>
      <c r="C84" s="2" t="s">
        <v>1023</v>
      </c>
      <c r="D84" s="2" t="s">
        <v>2094</v>
      </c>
      <c r="F84" s="2" t="s">
        <v>398</v>
      </c>
      <c r="G84" s="2" t="str">
        <f>IF(CustomerTable[[#This Row],[Status]]="RESOLVED","Done",IF(CustomerTable[[#This Row],[Status]]="CLOSED","DONE",IF(CustomerTable[[#This Row],[Status]]="DEFERRED","Done","Pending")))</f>
        <v>Done</v>
      </c>
      <c r="H84" s="2" t="s">
        <v>1027</v>
      </c>
      <c r="I84" s="2" t="s">
        <v>391</v>
      </c>
      <c r="J84" s="2" t="s">
        <v>1113</v>
      </c>
      <c r="K84" s="16">
        <v>45908</v>
      </c>
      <c r="M84" s="16">
        <v>45909</v>
      </c>
    </row>
    <row r="85" spans="1:13" x14ac:dyDescent="0.4">
      <c r="A85" s="2" t="s">
        <v>85</v>
      </c>
      <c r="B85" s="2">
        <f>VALUE(REPLACE(CustomerTable[[#This Row],[Ticket]],1,3,""))</f>
        <v>345</v>
      </c>
      <c r="C85" s="2" t="s">
        <v>1023</v>
      </c>
      <c r="D85" s="2" t="s">
        <v>2095</v>
      </c>
      <c r="F85" s="2" t="s">
        <v>398</v>
      </c>
      <c r="G85" s="2" t="str">
        <f>IF(CustomerTable[[#This Row],[Status]]="RESOLVED","Done",IF(CustomerTable[[#This Row],[Status]]="CLOSED","DONE",IF(CustomerTable[[#This Row],[Status]]="DEFERRED","Done","Pending")))</f>
        <v>Done</v>
      </c>
      <c r="H85" s="2" t="s">
        <v>1027</v>
      </c>
      <c r="I85" s="2" t="s">
        <v>389</v>
      </c>
      <c r="J85" s="2" t="s">
        <v>1114</v>
      </c>
      <c r="K85" s="16">
        <v>45908</v>
      </c>
      <c r="M85" s="16">
        <v>45933</v>
      </c>
    </row>
    <row r="86" spans="1:13" x14ac:dyDescent="0.4">
      <c r="A86" s="2" t="s">
        <v>86</v>
      </c>
      <c r="B86" s="2">
        <f>VALUE(REPLACE(CustomerTable[[#This Row],[Ticket]],1,3,""))</f>
        <v>346</v>
      </c>
      <c r="C86" s="2" t="s">
        <v>1023</v>
      </c>
      <c r="D86" s="2" t="s">
        <v>2096</v>
      </c>
      <c r="F86" s="2" t="s">
        <v>398</v>
      </c>
      <c r="G86" s="2" t="str">
        <f>IF(CustomerTable[[#This Row],[Status]]="RESOLVED","Done",IF(CustomerTable[[#This Row],[Status]]="CLOSED","DONE",IF(CustomerTable[[#This Row],[Status]]="DEFERRED","Done","Pending")))</f>
        <v>Done</v>
      </c>
      <c r="H86" s="2" t="s">
        <v>1032</v>
      </c>
      <c r="I86" s="2" t="s">
        <v>390</v>
      </c>
      <c r="J86" s="2" t="s">
        <v>1115</v>
      </c>
      <c r="K86" s="16">
        <v>45909</v>
      </c>
      <c r="M86" s="16">
        <v>45953</v>
      </c>
    </row>
    <row r="87" spans="1:13" x14ac:dyDescent="0.4">
      <c r="A87" s="2" t="s">
        <v>87</v>
      </c>
      <c r="B87" s="2">
        <f>VALUE(REPLACE(CustomerTable[[#This Row],[Ticket]],1,3,""))</f>
        <v>347</v>
      </c>
      <c r="C87" s="2" t="s">
        <v>1023</v>
      </c>
      <c r="D87" s="2" t="s">
        <v>2097</v>
      </c>
      <c r="F87" s="2" t="s">
        <v>398</v>
      </c>
      <c r="G87" s="2" t="str">
        <f>IF(CustomerTable[[#This Row],[Status]]="RESOLVED","Done",IF(CustomerTable[[#This Row],[Status]]="CLOSED","DONE",IF(CustomerTable[[#This Row],[Status]]="DEFERRED","Done","Pending")))</f>
        <v>Done</v>
      </c>
      <c r="H87" s="2" t="s">
        <v>11</v>
      </c>
      <c r="I87" s="2" t="s">
        <v>388</v>
      </c>
      <c r="J87" s="2" t="s">
        <v>1116</v>
      </c>
      <c r="K87" s="16">
        <v>45909</v>
      </c>
      <c r="M87" s="16">
        <v>46038</v>
      </c>
    </row>
    <row r="88" spans="1:13" x14ac:dyDescent="0.4">
      <c r="A88" s="2" t="s">
        <v>88</v>
      </c>
      <c r="B88" s="2">
        <f>VALUE(REPLACE(CustomerTable[[#This Row],[Ticket]],1,3,""))</f>
        <v>348</v>
      </c>
      <c r="C88" s="2" t="s">
        <v>1023</v>
      </c>
      <c r="D88" s="2" t="s">
        <v>2098</v>
      </c>
      <c r="F88" s="2" t="s">
        <v>398</v>
      </c>
      <c r="G88" s="2" t="str">
        <f>IF(CustomerTable[[#This Row],[Status]]="RESOLVED","Done",IF(CustomerTable[[#This Row],[Status]]="CLOSED","DONE",IF(CustomerTable[[#This Row],[Status]]="DEFERRED","Done","Pending")))</f>
        <v>Done</v>
      </c>
      <c r="H88" s="2" t="s">
        <v>1027</v>
      </c>
      <c r="I88" s="2" t="s">
        <v>389</v>
      </c>
      <c r="J88" s="2" t="s">
        <v>1117</v>
      </c>
      <c r="K88" s="16">
        <v>45909</v>
      </c>
      <c r="M88" s="16">
        <v>46038</v>
      </c>
    </row>
    <row r="89" spans="1:13" x14ac:dyDescent="0.4">
      <c r="A89" s="2" t="s">
        <v>89</v>
      </c>
      <c r="B89" s="2">
        <f>VALUE(REPLACE(CustomerTable[[#This Row],[Ticket]],1,3,""))</f>
        <v>349</v>
      </c>
      <c r="C89" s="2" t="s">
        <v>1023</v>
      </c>
      <c r="D89" s="2" t="s">
        <v>2099</v>
      </c>
      <c r="F89" s="2" t="s">
        <v>398</v>
      </c>
      <c r="G89" s="2" t="str">
        <f>IF(CustomerTable[[#This Row],[Status]]="RESOLVED","Done",IF(CustomerTable[[#This Row],[Status]]="CLOSED","DONE",IF(CustomerTable[[#This Row],[Status]]="DEFERRED","Done","Pending")))</f>
        <v>Done</v>
      </c>
      <c r="H89" s="2" t="s">
        <v>1025</v>
      </c>
      <c r="I89" s="2" t="s">
        <v>389</v>
      </c>
      <c r="J89" s="2" t="s">
        <v>1118</v>
      </c>
      <c r="K89" s="16">
        <v>45909</v>
      </c>
      <c r="M89" s="16">
        <v>45944</v>
      </c>
    </row>
    <row r="90" spans="1:13" x14ac:dyDescent="0.4">
      <c r="A90" s="2" t="s">
        <v>90</v>
      </c>
      <c r="B90" s="2">
        <f>VALUE(REPLACE(CustomerTable[[#This Row],[Ticket]],1,3,""))</f>
        <v>350</v>
      </c>
      <c r="C90" s="2" t="s">
        <v>1023</v>
      </c>
      <c r="D90" s="2" t="s">
        <v>2100</v>
      </c>
      <c r="F90" s="2" t="s">
        <v>398</v>
      </c>
      <c r="G90" s="2" t="str">
        <f>IF(CustomerTable[[#This Row],[Status]]="RESOLVED","Done",IF(CustomerTable[[#This Row],[Status]]="CLOSED","DONE",IF(CustomerTable[[#This Row],[Status]]="DEFERRED","Done","Pending")))</f>
        <v>Done</v>
      </c>
      <c r="H90" s="2" t="s">
        <v>1027</v>
      </c>
      <c r="I90" s="2" t="s">
        <v>390</v>
      </c>
      <c r="J90" s="2" t="s">
        <v>1119</v>
      </c>
      <c r="K90" s="16">
        <v>45909</v>
      </c>
      <c r="M90" s="16">
        <v>45934</v>
      </c>
    </row>
    <row r="91" spans="1:13" x14ac:dyDescent="0.4">
      <c r="A91" s="2" t="s">
        <v>91</v>
      </c>
      <c r="B91" s="2">
        <f>VALUE(REPLACE(CustomerTable[[#This Row],[Ticket]],1,3,""))</f>
        <v>351</v>
      </c>
      <c r="C91" s="2" t="s">
        <v>1023</v>
      </c>
      <c r="D91" s="2" t="s">
        <v>2101</v>
      </c>
      <c r="F91" s="2" t="s">
        <v>413</v>
      </c>
      <c r="G91" s="2" t="str">
        <f>IF(CustomerTable[[#This Row],[Status]]="RESOLVED","Done",IF(CustomerTable[[#This Row],[Status]]="CLOSED","DONE",IF(CustomerTable[[#This Row],[Status]]="DEFERRED","Done","Pending")))</f>
        <v>DONE</v>
      </c>
      <c r="H91" s="2" t="s">
        <v>1027</v>
      </c>
      <c r="I91" s="2" t="s">
        <v>393</v>
      </c>
      <c r="J91" s="2" t="s">
        <v>1120</v>
      </c>
      <c r="K91" s="16">
        <v>45909</v>
      </c>
      <c r="M91" s="16">
        <v>45912</v>
      </c>
    </row>
    <row r="92" spans="1:13" x14ac:dyDescent="0.4">
      <c r="A92" s="2" t="s">
        <v>92</v>
      </c>
      <c r="B92" s="2">
        <f>VALUE(REPLACE(CustomerTable[[#This Row],[Ticket]],1,3,""))</f>
        <v>352</v>
      </c>
      <c r="C92" s="2" t="s">
        <v>1023</v>
      </c>
      <c r="D92" s="2" t="s">
        <v>2102</v>
      </c>
      <c r="F92" s="2" t="s">
        <v>398</v>
      </c>
      <c r="G92" s="2" t="str">
        <f>IF(CustomerTable[[#This Row],[Status]]="RESOLVED","Done",IF(CustomerTable[[#This Row],[Status]]="CLOSED","DONE",IF(CustomerTable[[#This Row],[Status]]="DEFERRED","Done","Pending")))</f>
        <v>Done</v>
      </c>
      <c r="H92" s="2" t="s">
        <v>1027</v>
      </c>
      <c r="I92" s="2" t="s">
        <v>389</v>
      </c>
      <c r="J92" s="2" t="s">
        <v>1121</v>
      </c>
      <c r="K92" s="16">
        <v>45910</v>
      </c>
      <c r="M92" s="16">
        <v>45985</v>
      </c>
    </row>
    <row r="93" spans="1:13" x14ac:dyDescent="0.4">
      <c r="A93" s="2" t="s">
        <v>93</v>
      </c>
      <c r="B93" s="2">
        <f>VALUE(REPLACE(CustomerTable[[#This Row],[Ticket]],1,3,""))</f>
        <v>353</v>
      </c>
      <c r="C93" s="2" t="s">
        <v>1023</v>
      </c>
      <c r="D93" s="2" t="s">
        <v>2103</v>
      </c>
      <c r="F93" s="2" t="s">
        <v>398</v>
      </c>
      <c r="G93" s="2" t="str">
        <f>IF(CustomerTable[[#This Row],[Status]]="RESOLVED","Done",IF(CustomerTable[[#This Row],[Status]]="CLOSED","DONE",IF(CustomerTable[[#This Row],[Status]]="DEFERRED","Done","Pending")))</f>
        <v>Done</v>
      </c>
      <c r="H93" s="2" t="s">
        <v>1025</v>
      </c>
      <c r="I93" s="2" t="s">
        <v>389</v>
      </c>
      <c r="J93" s="2" t="s">
        <v>1122</v>
      </c>
      <c r="K93" s="16">
        <v>45910</v>
      </c>
      <c r="M93" s="16">
        <v>45946</v>
      </c>
    </row>
    <row r="94" spans="1:13" x14ac:dyDescent="0.4">
      <c r="A94" s="2" t="s">
        <v>94</v>
      </c>
      <c r="B94" s="2">
        <f>VALUE(REPLACE(CustomerTable[[#This Row],[Ticket]],1,3,""))</f>
        <v>354</v>
      </c>
      <c r="C94" s="2" t="s">
        <v>1023</v>
      </c>
      <c r="D94" s="2" t="s">
        <v>2104</v>
      </c>
      <c r="F94" s="2" t="s">
        <v>398</v>
      </c>
      <c r="G94" s="2" t="str">
        <f>IF(CustomerTable[[#This Row],[Status]]="RESOLVED","Done",IF(CustomerTable[[#This Row],[Status]]="CLOSED","DONE",IF(CustomerTable[[#This Row],[Status]]="DEFERRED","Done","Pending")))</f>
        <v>Done</v>
      </c>
      <c r="H94" s="2" t="s">
        <v>1025</v>
      </c>
      <c r="I94" s="2" t="s">
        <v>390</v>
      </c>
      <c r="J94" s="2" t="s">
        <v>1123</v>
      </c>
      <c r="K94" s="16">
        <v>45910</v>
      </c>
      <c r="M94" s="16">
        <v>46029</v>
      </c>
    </row>
    <row r="95" spans="1:13" x14ac:dyDescent="0.4">
      <c r="A95" s="2" t="s">
        <v>95</v>
      </c>
      <c r="B95" s="2">
        <f>VALUE(REPLACE(CustomerTable[[#This Row],[Ticket]],1,3,""))</f>
        <v>355</v>
      </c>
      <c r="C95" s="2" t="s">
        <v>1023</v>
      </c>
      <c r="D95" s="2" t="s">
        <v>2105</v>
      </c>
      <c r="F95" s="2" t="s">
        <v>398</v>
      </c>
      <c r="G95" s="2" t="str">
        <f>IF(CustomerTable[[#This Row],[Status]]="RESOLVED","Done",IF(CustomerTable[[#This Row],[Status]]="CLOSED","DONE",IF(CustomerTable[[#This Row],[Status]]="DEFERRED","Done","Pending")))</f>
        <v>Done</v>
      </c>
      <c r="H95" s="2" t="s">
        <v>1025</v>
      </c>
      <c r="I95" s="2" t="s">
        <v>390</v>
      </c>
      <c r="J95" s="2" t="s">
        <v>1124</v>
      </c>
      <c r="K95" s="16">
        <v>45910</v>
      </c>
      <c r="M95" s="16">
        <v>45985</v>
      </c>
    </row>
    <row r="96" spans="1:13" x14ac:dyDescent="0.4">
      <c r="A96" s="2" t="s">
        <v>96</v>
      </c>
      <c r="B96" s="2">
        <f>VALUE(REPLACE(CustomerTable[[#This Row],[Ticket]],1,3,""))</f>
        <v>356</v>
      </c>
      <c r="C96" s="2" t="s">
        <v>1023</v>
      </c>
      <c r="D96" s="2" t="s">
        <v>2106</v>
      </c>
      <c r="F96" s="2" t="s">
        <v>398</v>
      </c>
      <c r="G96" s="2" t="str">
        <f>IF(CustomerTable[[#This Row],[Status]]="RESOLVED","Done",IF(CustomerTable[[#This Row],[Status]]="CLOSED","DONE",IF(CustomerTable[[#This Row],[Status]]="DEFERRED","Done","Pending")))</f>
        <v>Done</v>
      </c>
      <c r="H96" s="2" t="s">
        <v>1027</v>
      </c>
      <c r="I96" s="2" t="s">
        <v>389</v>
      </c>
      <c r="J96" s="2" t="s">
        <v>1125</v>
      </c>
      <c r="K96" s="16">
        <v>45910</v>
      </c>
      <c r="M96" s="16">
        <v>45932</v>
      </c>
    </row>
    <row r="97" spans="1:13" x14ac:dyDescent="0.4">
      <c r="A97" s="2" t="s">
        <v>97</v>
      </c>
      <c r="B97" s="2">
        <f>VALUE(REPLACE(CustomerTable[[#This Row],[Ticket]],1,3,""))</f>
        <v>357</v>
      </c>
      <c r="C97" s="2" t="s">
        <v>1023</v>
      </c>
      <c r="D97" s="2" t="s">
        <v>2107</v>
      </c>
      <c r="E97" s="2" t="s">
        <v>405</v>
      </c>
      <c r="F97" s="2" t="s">
        <v>414</v>
      </c>
      <c r="G97" s="2" t="str">
        <f>IF(CustomerTable[[#This Row],[Status]]="RESOLVED","Done",IF(CustomerTable[[#This Row],[Status]]="CLOSED","DONE",IF(CustomerTable[[#This Row],[Status]]="DEFERRED","Done","Pending")))</f>
        <v>Done</v>
      </c>
      <c r="H97" s="2" t="s">
        <v>1025</v>
      </c>
      <c r="I97" s="2" t="s">
        <v>394</v>
      </c>
      <c r="J97" s="2" t="s">
        <v>1126</v>
      </c>
      <c r="K97" s="16">
        <v>45910</v>
      </c>
      <c r="M97" s="16">
        <v>45974</v>
      </c>
    </row>
    <row r="98" spans="1:13" x14ac:dyDescent="0.4">
      <c r="A98" s="2" t="s">
        <v>98</v>
      </c>
      <c r="B98" s="2">
        <f>VALUE(REPLACE(CustomerTable[[#This Row],[Ticket]],1,3,""))</f>
        <v>358</v>
      </c>
      <c r="C98" s="2" t="s">
        <v>1023</v>
      </c>
      <c r="D98" s="2" t="s">
        <v>2108</v>
      </c>
      <c r="F98" s="2" t="s">
        <v>398</v>
      </c>
      <c r="G98" s="2" t="str">
        <f>IF(CustomerTable[[#This Row],[Status]]="RESOLVED","Done",IF(CustomerTable[[#This Row],[Status]]="CLOSED","DONE",IF(CustomerTable[[#This Row],[Status]]="DEFERRED","Done","Pending")))</f>
        <v>Done</v>
      </c>
      <c r="H98" s="2" t="s">
        <v>1025</v>
      </c>
      <c r="I98" s="2" t="s">
        <v>390</v>
      </c>
      <c r="J98" s="2" t="s">
        <v>1127</v>
      </c>
      <c r="K98" s="16">
        <v>45911</v>
      </c>
      <c r="M98" s="16">
        <v>45936</v>
      </c>
    </row>
    <row r="99" spans="1:13" x14ac:dyDescent="0.4">
      <c r="A99" s="2" t="s">
        <v>99</v>
      </c>
      <c r="B99" s="2">
        <f>VALUE(REPLACE(CustomerTable[[#This Row],[Ticket]],1,3,""))</f>
        <v>359</v>
      </c>
      <c r="C99" s="2" t="s">
        <v>1023</v>
      </c>
      <c r="D99" s="2" t="s">
        <v>2109</v>
      </c>
      <c r="F99" s="2" t="s">
        <v>398</v>
      </c>
      <c r="G99" s="2" t="str">
        <f>IF(CustomerTable[[#This Row],[Status]]="RESOLVED","Done",IF(CustomerTable[[#This Row],[Status]]="CLOSED","DONE",IF(CustomerTable[[#This Row],[Status]]="DEFERRED","Done","Pending")))</f>
        <v>Done</v>
      </c>
      <c r="H99" s="2" t="s">
        <v>1027</v>
      </c>
      <c r="I99" s="2" t="s">
        <v>389</v>
      </c>
      <c r="J99" s="2" t="s">
        <v>1128</v>
      </c>
      <c r="K99" s="16">
        <v>45915</v>
      </c>
      <c r="M99" s="16">
        <v>45985</v>
      </c>
    </row>
    <row r="100" spans="1:13" x14ac:dyDescent="0.4">
      <c r="A100" s="2" t="s">
        <v>100</v>
      </c>
      <c r="B100" s="2">
        <f>VALUE(REPLACE(CustomerTable[[#This Row],[Ticket]],1,3,""))</f>
        <v>360</v>
      </c>
      <c r="C100" s="2" t="s">
        <v>1023</v>
      </c>
      <c r="D100" s="2" t="s">
        <v>2110</v>
      </c>
      <c r="F100" s="2" t="s">
        <v>398</v>
      </c>
      <c r="G100" s="2" t="str">
        <f>IF(CustomerTable[[#This Row],[Status]]="RESOLVED","Done",IF(CustomerTable[[#This Row],[Status]]="CLOSED","DONE",IF(CustomerTable[[#This Row],[Status]]="DEFERRED","Done","Pending")))</f>
        <v>Done</v>
      </c>
      <c r="H100" s="2" t="s">
        <v>1032</v>
      </c>
      <c r="I100" s="2" t="s">
        <v>389</v>
      </c>
      <c r="J100" s="2" t="s">
        <v>1129</v>
      </c>
      <c r="K100" s="16">
        <v>45915</v>
      </c>
      <c r="M100" s="16">
        <v>45931</v>
      </c>
    </row>
    <row r="101" spans="1:13" x14ac:dyDescent="0.4">
      <c r="A101" s="2" t="s">
        <v>101</v>
      </c>
      <c r="B101" s="2">
        <f>VALUE(REPLACE(CustomerTable[[#This Row],[Ticket]],1,3,""))</f>
        <v>361</v>
      </c>
      <c r="C101" s="2" t="s">
        <v>1023</v>
      </c>
      <c r="D101" s="2" t="s">
        <v>2111</v>
      </c>
      <c r="F101" s="2" t="s">
        <v>398</v>
      </c>
      <c r="G101" s="2" t="str">
        <f>IF(CustomerTable[[#This Row],[Status]]="RESOLVED","Done",IF(CustomerTable[[#This Row],[Status]]="CLOSED","DONE",IF(CustomerTable[[#This Row],[Status]]="DEFERRED","Done","Pending")))</f>
        <v>Done</v>
      </c>
      <c r="H101" s="2" t="s">
        <v>1027</v>
      </c>
      <c r="I101" s="2" t="s">
        <v>389</v>
      </c>
      <c r="J101" s="2" t="s">
        <v>1130</v>
      </c>
      <c r="K101" s="16">
        <v>45915</v>
      </c>
      <c r="M101" s="16">
        <v>45916</v>
      </c>
    </row>
    <row r="102" spans="1:13" x14ac:dyDescent="0.4">
      <c r="A102" s="2" t="s">
        <v>102</v>
      </c>
      <c r="B102" s="2">
        <f>VALUE(REPLACE(CustomerTable[[#This Row],[Ticket]],1,3,""))</f>
        <v>362</v>
      </c>
      <c r="C102" s="2" t="s">
        <v>1023</v>
      </c>
      <c r="D102" s="2" t="s">
        <v>2112</v>
      </c>
      <c r="F102" s="2" t="s">
        <v>398</v>
      </c>
      <c r="G102" s="2" t="str">
        <f>IF(CustomerTable[[#This Row],[Status]]="RESOLVED","Done",IF(CustomerTable[[#This Row],[Status]]="CLOSED","DONE",IF(CustomerTable[[#This Row],[Status]]="DEFERRED","Done","Pending")))</f>
        <v>Done</v>
      </c>
      <c r="H102" s="2" t="s">
        <v>1025</v>
      </c>
      <c r="I102" s="2" t="s">
        <v>389</v>
      </c>
      <c r="J102" s="2" t="s">
        <v>1131</v>
      </c>
      <c r="K102" s="16">
        <v>45915</v>
      </c>
      <c r="M102" s="16">
        <v>45933</v>
      </c>
    </row>
    <row r="103" spans="1:13" x14ac:dyDescent="0.4">
      <c r="A103" s="2" t="s">
        <v>103</v>
      </c>
      <c r="B103" s="2">
        <f>VALUE(REPLACE(CustomerTable[[#This Row],[Ticket]],1,3,""))</f>
        <v>363</v>
      </c>
      <c r="C103" s="2" t="s">
        <v>1023</v>
      </c>
      <c r="D103" s="2" t="s">
        <v>2113</v>
      </c>
      <c r="F103" s="2" t="s">
        <v>398</v>
      </c>
      <c r="G103" s="2" t="str">
        <f>IF(CustomerTable[[#This Row],[Status]]="RESOLVED","Done",IF(CustomerTable[[#This Row],[Status]]="CLOSED","DONE",IF(CustomerTable[[#This Row],[Status]]="DEFERRED","Done","Pending")))</f>
        <v>Done</v>
      </c>
      <c r="H103" s="2" t="s">
        <v>1025</v>
      </c>
      <c r="I103" s="2" t="s">
        <v>389</v>
      </c>
      <c r="J103" s="2" t="s">
        <v>1132</v>
      </c>
      <c r="K103" s="16">
        <v>45915</v>
      </c>
      <c r="M103" s="16">
        <v>45932</v>
      </c>
    </row>
    <row r="104" spans="1:13" x14ac:dyDescent="0.4">
      <c r="A104" s="2" t="s">
        <v>104</v>
      </c>
      <c r="B104" s="2">
        <f>VALUE(REPLACE(CustomerTable[[#This Row],[Ticket]],1,3,""))</f>
        <v>364</v>
      </c>
      <c r="C104" s="2" t="s">
        <v>1023</v>
      </c>
      <c r="D104" s="2" t="s">
        <v>2114</v>
      </c>
      <c r="F104" s="2" t="s">
        <v>398</v>
      </c>
      <c r="G104" s="2" t="str">
        <f>IF(CustomerTable[[#This Row],[Status]]="RESOLVED","Done",IF(CustomerTable[[#This Row],[Status]]="CLOSED","DONE",IF(CustomerTable[[#This Row],[Status]]="DEFERRED","Done","Pending")))</f>
        <v>Done</v>
      </c>
      <c r="H104" s="2" t="s">
        <v>1025</v>
      </c>
      <c r="I104" s="2" t="s">
        <v>389</v>
      </c>
      <c r="J104" s="2" t="s">
        <v>1133</v>
      </c>
      <c r="K104" s="16">
        <v>45915</v>
      </c>
      <c r="M104" s="16">
        <v>45985</v>
      </c>
    </row>
    <row r="105" spans="1:13" x14ac:dyDescent="0.4">
      <c r="A105" s="2" t="s">
        <v>105</v>
      </c>
      <c r="B105" s="2">
        <f>VALUE(REPLACE(CustomerTable[[#This Row],[Ticket]],1,3,""))</f>
        <v>365</v>
      </c>
      <c r="C105" s="2" t="s">
        <v>1023</v>
      </c>
      <c r="D105" s="2" t="s">
        <v>2115</v>
      </c>
      <c r="F105" s="2" t="s">
        <v>398</v>
      </c>
      <c r="G105" s="2" t="str">
        <f>IF(CustomerTable[[#This Row],[Status]]="RESOLVED","Done",IF(CustomerTable[[#This Row],[Status]]="CLOSED","DONE",IF(CustomerTable[[#This Row],[Status]]="DEFERRED","Done","Pending")))</f>
        <v>Done</v>
      </c>
      <c r="H105" s="2" t="s">
        <v>1027</v>
      </c>
      <c r="I105" s="2" t="s">
        <v>390</v>
      </c>
      <c r="J105" s="2" t="s">
        <v>1134</v>
      </c>
      <c r="K105" s="16">
        <v>45915</v>
      </c>
      <c r="M105" s="16">
        <v>45918</v>
      </c>
    </row>
    <row r="106" spans="1:13" x14ac:dyDescent="0.4">
      <c r="A106" s="2" t="s">
        <v>106</v>
      </c>
      <c r="B106" s="2">
        <f>VALUE(REPLACE(CustomerTable[[#This Row],[Ticket]],1,3,""))</f>
        <v>366</v>
      </c>
      <c r="C106" s="2" t="s">
        <v>1023</v>
      </c>
      <c r="D106" s="2" t="s">
        <v>2116</v>
      </c>
      <c r="F106" s="2" t="s">
        <v>398</v>
      </c>
      <c r="G106" s="2" t="str">
        <f>IF(CustomerTable[[#This Row],[Status]]="RESOLVED","Done",IF(CustomerTable[[#This Row],[Status]]="CLOSED","DONE",IF(CustomerTable[[#This Row],[Status]]="DEFERRED","Done","Pending")))</f>
        <v>Done</v>
      </c>
      <c r="H106" s="2" t="s">
        <v>1027</v>
      </c>
      <c r="I106" s="2" t="s">
        <v>391</v>
      </c>
      <c r="J106" s="2" t="s">
        <v>1135</v>
      </c>
      <c r="K106" s="16">
        <v>45916</v>
      </c>
      <c r="M106" s="16">
        <v>45954</v>
      </c>
    </row>
    <row r="107" spans="1:13" x14ac:dyDescent="0.4">
      <c r="A107" s="2" t="s">
        <v>107</v>
      </c>
      <c r="B107" s="2">
        <f>VALUE(REPLACE(CustomerTable[[#This Row],[Ticket]],1,3,""))</f>
        <v>367</v>
      </c>
      <c r="C107" s="2" t="s">
        <v>1023</v>
      </c>
      <c r="D107" s="2" t="s">
        <v>2117</v>
      </c>
      <c r="F107" s="2" t="s">
        <v>398</v>
      </c>
      <c r="G107" s="2" t="str">
        <f>IF(CustomerTable[[#This Row],[Status]]="RESOLVED","Done",IF(CustomerTable[[#This Row],[Status]]="CLOSED","DONE",IF(CustomerTable[[#This Row],[Status]]="DEFERRED","Done","Pending")))</f>
        <v>Done</v>
      </c>
      <c r="H107" s="2" t="s">
        <v>1025</v>
      </c>
      <c r="I107" s="2" t="s">
        <v>392</v>
      </c>
      <c r="J107" s="2" t="s">
        <v>1136</v>
      </c>
      <c r="K107" s="16">
        <v>45916</v>
      </c>
      <c r="M107" s="16">
        <v>46038</v>
      </c>
    </row>
    <row r="108" spans="1:13" x14ac:dyDescent="0.4">
      <c r="A108" s="2" t="s">
        <v>108</v>
      </c>
      <c r="B108" s="2">
        <f>VALUE(REPLACE(CustomerTable[[#This Row],[Ticket]],1,3,""))</f>
        <v>368</v>
      </c>
      <c r="C108" s="2" t="s">
        <v>1023</v>
      </c>
      <c r="D108" s="2" t="s">
        <v>2118</v>
      </c>
      <c r="F108" s="2" t="s">
        <v>398</v>
      </c>
      <c r="G108" s="2" t="str">
        <f>IF(CustomerTable[[#This Row],[Status]]="RESOLVED","Done",IF(CustomerTable[[#This Row],[Status]]="CLOSED","DONE",IF(CustomerTable[[#This Row],[Status]]="DEFERRED","Done","Pending")))</f>
        <v>Done</v>
      </c>
      <c r="H108" s="2" t="s">
        <v>1032</v>
      </c>
      <c r="I108" s="2" t="s">
        <v>389</v>
      </c>
      <c r="J108" s="2" t="s">
        <v>1137</v>
      </c>
      <c r="K108" s="16">
        <v>45916</v>
      </c>
      <c r="M108" s="16">
        <v>45995</v>
      </c>
    </row>
    <row r="109" spans="1:13" x14ac:dyDescent="0.4">
      <c r="A109" s="2" t="s">
        <v>109</v>
      </c>
      <c r="B109" s="2">
        <f>VALUE(REPLACE(CustomerTable[[#This Row],[Ticket]],1,3,""))</f>
        <v>369</v>
      </c>
      <c r="C109" s="2" t="s">
        <v>1023</v>
      </c>
      <c r="D109" s="2" t="s">
        <v>2119</v>
      </c>
      <c r="F109" s="2" t="s">
        <v>398</v>
      </c>
      <c r="G109" s="2" t="str">
        <f>IF(CustomerTable[[#This Row],[Status]]="RESOLVED","Done",IF(CustomerTable[[#This Row],[Status]]="CLOSED","DONE",IF(CustomerTable[[#This Row],[Status]]="DEFERRED","Done","Pending")))</f>
        <v>Done</v>
      </c>
      <c r="H109" s="2" t="s">
        <v>1025</v>
      </c>
      <c r="I109" s="2" t="s">
        <v>390</v>
      </c>
      <c r="J109" s="2" t="s">
        <v>1138</v>
      </c>
      <c r="K109" s="16">
        <v>45916</v>
      </c>
      <c r="M109" s="16">
        <v>45985</v>
      </c>
    </row>
    <row r="110" spans="1:13" x14ac:dyDescent="0.4">
      <c r="A110" s="2" t="s">
        <v>110</v>
      </c>
      <c r="B110" s="2">
        <f>VALUE(REPLACE(CustomerTable[[#This Row],[Ticket]],1,3,""))</f>
        <v>370</v>
      </c>
      <c r="C110" s="2" t="s">
        <v>1023</v>
      </c>
      <c r="D110" s="2" t="s">
        <v>2120</v>
      </c>
      <c r="F110" s="2" t="s">
        <v>398</v>
      </c>
      <c r="G110" s="2" t="str">
        <f>IF(CustomerTable[[#This Row],[Status]]="RESOLVED","Done",IF(CustomerTable[[#This Row],[Status]]="CLOSED","DONE",IF(CustomerTable[[#This Row],[Status]]="DEFERRED","Done","Pending")))</f>
        <v>Done</v>
      </c>
      <c r="H110" s="2" t="s">
        <v>1032</v>
      </c>
      <c r="I110" s="2" t="s">
        <v>395</v>
      </c>
      <c r="J110" s="2" t="s">
        <v>1139</v>
      </c>
      <c r="K110" s="16">
        <v>45916</v>
      </c>
      <c r="M110" s="16">
        <v>45933</v>
      </c>
    </row>
    <row r="111" spans="1:13" x14ac:dyDescent="0.4">
      <c r="A111" s="2" t="s">
        <v>111</v>
      </c>
      <c r="B111" s="2">
        <f>VALUE(REPLACE(CustomerTable[[#This Row],[Ticket]],1,3,""))</f>
        <v>371</v>
      </c>
      <c r="C111" s="2" t="s">
        <v>1023</v>
      </c>
      <c r="D111" s="2" t="s">
        <v>2121</v>
      </c>
      <c r="F111" s="2" t="s">
        <v>398</v>
      </c>
      <c r="G111" s="2" t="str">
        <f>IF(CustomerTable[[#This Row],[Status]]="RESOLVED","Done",IF(CustomerTable[[#This Row],[Status]]="CLOSED","DONE",IF(CustomerTable[[#This Row],[Status]]="DEFERRED","Done","Pending")))</f>
        <v>Done</v>
      </c>
      <c r="H111" s="2" t="s">
        <v>1032</v>
      </c>
      <c r="I111" s="2" t="s">
        <v>395</v>
      </c>
      <c r="J111" s="2" t="s">
        <v>1140</v>
      </c>
      <c r="K111" s="16">
        <v>45917</v>
      </c>
      <c r="M111" s="16">
        <v>45937</v>
      </c>
    </row>
    <row r="112" spans="1:13" x14ac:dyDescent="0.4">
      <c r="A112" s="2" t="s">
        <v>112</v>
      </c>
      <c r="B112" s="2">
        <f>VALUE(REPLACE(CustomerTable[[#This Row],[Ticket]],1,3,""))</f>
        <v>372</v>
      </c>
      <c r="C112" s="2" t="s">
        <v>1023</v>
      </c>
      <c r="D112" s="2" t="s">
        <v>2122</v>
      </c>
      <c r="F112" s="2" t="s">
        <v>398</v>
      </c>
      <c r="G112" s="2" t="str">
        <f>IF(CustomerTable[[#This Row],[Status]]="RESOLVED","Done",IF(CustomerTable[[#This Row],[Status]]="CLOSED","DONE",IF(CustomerTable[[#This Row],[Status]]="DEFERRED","Done","Pending")))</f>
        <v>Done</v>
      </c>
      <c r="H112" s="2" t="s">
        <v>1027</v>
      </c>
      <c r="I112" s="2" t="s">
        <v>389</v>
      </c>
      <c r="J112" s="2" t="s">
        <v>1141</v>
      </c>
      <c r="K112" s="16">
        <v>45917</v>
      </c>
      <c r="M112" s="16">
        <v>45932</v>
      </c>
    </row>
    <row r="113" spans="1:13" x14ac:dyDescent="0.4">
      <c r="A113" s="2" t="s">
        <v>113</v>
      </c>
      <c r="B113" s="2">
        <f>VALUE(REPLACE(CustomerTable[[#This Row],[Ticket]],1,3,""))</f>
        <v>373</v>
      </c>
      <c r="C113" s="2" t="s">
        <v>1023</v>
      </c>
      <c r="D113" s="2" t="s">
        <v>2123</v>
      </c>
      <c r="F113" s="2" t="s">
        <v>398</v>
      </c>
      <c r="G113" s="2" t="str">
        <f>IF(CustomerTable[[#This Row],[Status]]="RESOLVED","Done",IF(CustomerTable[[#This Row],[Status]]="CLOSED","DONE",IF(CustomerTable[[#This Row],[Status]]="DEFERRED","Done","Pending")))</f>
        <v>Done</v>
      </c>
      <c r="H113" s="2" t="s">
        <v>1025</v>
      </c>
      <c r="I113" s="2" t="s">
        <v>391</v>
      </c>
      <c r="J113" s="2" t="s">
        <v>1142</v>
      </c>
      <c r="K113" s="16">
        <v>45918</v>
      </c>
      <c r="M113" s="16">
        <v>45933</v>
      </c>
    </row>
    <row r="114" spans="1:13" x14ac:dyDescent="0.4">
      <c r="A114" s="2" t="s">
        <v>114</v>
      </c>
      <c r="B114" s="2">
        <f>VALUE(REPLACE(CustomerTable[[#This Row],[Ticket]],1,3,""))</f>
        <v>374</v>
      </c>
      <c r="C114" s="2" t="s">
        <v>1023</v>
      </c>
      <c r="D114" s="2" t="s">
        <v>2124</v>
      </c>
      <c r="F114" s="2" t="s">
        <v>398</v>
      </c>
      <c r="G114" s="2" t="str">
        <f>IF(CustomerTable[[#This Row],[Status]]="RESOLVED","Done",IF(CustomerTable[[#This Row],[Status]]="CLOSED","DONE",IF(CustomerTable[[#This Row],[Status]]="DEFERRED","Done","Pending")))</f>
        <v>Done</v>
      </c>
      <c r="H114" s="2" t="s">
        <v>1025</v>
      </c>
      <c r="I114" s="2" t="s">
        <v>392</v>
      </c>
      <c r="J114" s="2" t="s">
        <v>1143</v>
      </c>
      <c r="K114" s="16">
        <v>45918</v>
      </c>
      <c r="M114" s="16">
        <v>45938</v>
      </c>
    </row>
    <row r="115" spans="1:13" x14ac:dyDescent="0.4">
      <c r="A115" s="2" t="s">
        <v>115</v>
      </c>
      <c r="B115" s="2">
        <f>VALUE(REPLACE(CustomerTable[[#This Row],[Ticket]],1,3,""))</f>
        <v>375</v>
      </c>
      <c r="C115" s="2" t="s">
        <v>1023</v>
      </c>
      <c r="D115" s="2" t="s">
        <v>2125</v>
      </c>
      <c r="F115" s="2" t="s">
        <v>398</v>
      </c>
      <c r="G115" s="2" t="str">
        <f>IF(CustomerTable[[#This Row],[Status]]="RESOLVED","Done",IF(CustomerTable[[#This Row],[Status]]="CLOSED","DONE",IF(CustomerTable[[#This Row],[Status]]="DEFERRED","Done","Pending")))</f>
        <v>Done</v>
      </c>
      <c r="H115" s="2" t="s">
        <v>1025</v>
      </c>
      <c r="I115" s="2" t="s">
        <v>389</v>
      </c>
      <c r="J115" s="2" t="s">
        <v>1144</v>
      </c>
      <c r="K115" s="16">
        <v>45919</v>
      </c>
      <c r="M115" s="16">
        <v>45933</v>
      </c>
    </row>
    <row r="116" spans="1:13" x14ac:dyDescent="0.4">
      <c r="A116" s="2" t="s">
        <v>116</v>
      </c>
      <c r="B116" s="2">
        <f>VALUE(REPLACE(CustomerTable[[#This Row],[Ticket]],1,3,""))</f>
        <v>376</v>
      </c>
      <c r="C116" s="2" t="s">
        <v>1023</v>
      </c>
      <c r="D116" s="2" t="s">
        <v>2126</v>
      </c>
      <c r="F116" s="2" t="s">
        <v>398</v>
      </c>
      <c r="G116" s="2" t="str">
        <f>IF(CustomerTable[[#This Row],[Status]]="RESOLVED","Done",IF(CustomerTable[[#This Row],[Status]]="CLOSED","DONE",IF(CustomerTable[[#This Row],[Status]]="DEFERRED","Done","Pending")))</f>
        <v>Done</v>
      </c>
      <c r="H116" s="2" t="s">
        <v>1025</v>
      </c>
      <c r="I116" s="2" t="s">
        <v>390</v>
      </c>
      <c r="J116" s="2" t="s">
        <v>1145</v>
      </c>
      <c r="K116" s="16">
        <v>45919</v>
      </c>
      <c r="M116" s="16">
        <v>45933</v>
      </c>
    </row>
    <row r="117" spans="1:13" x14ac:dyDescent="0.4">
      <c r="A117" s="2" t="s">
        <v>117</v>
      </c>
      <c r="B117" s="2">
        <f>VALUE(REPLACE(CustomerTable[[#This Row],[Ticket]],1,3,""))</f>
        <v>377</v>
      </c>
      <c r="C117" s="2" t="s">
        <v>1023</v>
      </c>
      <c r="D117" s="2" t="s">
        <v>2127</v>
      </c>
      <c r="F117" s="2" t="s">
        <v>398</v>
      </c>
      <c r="G117" s="2" t="str">
        <f>IF(CustomerTable[[#This Row],[Status]]="RESOLVED","Done",IF(CustomerTable[[#This Row],[Status]]="CLOSED","DONE",IF(CustomerTable[[#This Row],[Status]]="DEFERRED","Done","Pending")))</f>
        <v>Done</v>
      </c>
      <c r="H117" s="2" t="s">
        <v>1025</v>
      </c>
      <c r="I117" s="2" t="s">
        <v>389</v>
      </c>
      <c r="J117" s="2" t="s">
        <v>1146</v>
      </c>
      <c r="K117" s="16">
        <v>45919</v>
      </c>
      <c r="M117" s="16">
        <v>45933</v>
      </c>
    </row>
    <row r="118" spans="1:13" x14ac:dyDescent="0.4">
      <c r="A118" s="2" t="s">
        <v>118</v>
      </c>
      <c r="B118" s="2">
        <f>VALUE(REPLACE(CustomerTable[[#This Row],[Ticket]],1,3,""))</f>
        <v>378</v>
      </c>
      <c r="C118" s="2" t="s">
        <v>1023</v>
      </c>
      <c r="D118" s="2" t="s">
        <v>2128</v>
      </c>
      <c r="F118" s="2" t="s">
        <v>398</v>
      </c>
      <c r="G118" s="2" t="str">
        <f>IF(CustomerTable[[#This Row],[Status]]="RESOLVED","Done",IF(CustomerTable[[#This Row],[Status]]="CLOSED","DONE",IF(CustomerTable[[#This Row],[Status]]="DEFERRED","Done","Pending")))</f>
        <v>Done</v>
      </c>
      <c r="H118" s="2" t="s">
        <v>1025</v>
      </c>
      <c r="I118" s="2" t="s">
        <v>393</v>
      </c>
      <c r="J118" s="2" t="s">
        <v>1147</v>
      </c>
      <c r="K118" s="16">
        <v>45922</v>
      </c>
      <c r="M118" s="16">
        <v>45944</v>
      </c>
    </row>
    <row r="119" spans="1:13" x14ac:dyDescent="0.4">
      <c r="A119" s="2" t="s">
        <v>119</v>
      </c>
      <c r="B119" s="2">
        <f>VALUE(REPLACE(CustomerTable[[#This Row],[Ticket]],1,3,""))</f>
        <v>379</v>
      </c>
      <c r="C119" s="2" t="s">
        <v>1023</v>
      </c>
      <c r="D119" s="2" t="s">
        <v>2129</v>
      </c>
      <c r="F119" s="2" t="s">
        <v>398</v>
      </c>
      <c r="G119" s="2" t="str">
        <f>IF(CustomerTable[[#This Row],[Status]]="RESOLVED","Done",IF(CustomerTable[[#This Row],[Status]]="CLOSED","DONE",IF(CustomerTable[[#This Row],[Status]]="DEFERRED","Done","Pending")))</f>
        <v>Done</v>
      </c>
      <c r="H119" s="2" t="s">
        <v>1032</v>
      </c>
      <c r="I119" s="2" t="s">
        <v>392</v>
      </c>
      <c r="J119" s="2" t="s">
        <v>1148</v>
      </c>
      <c r="K119" s="16">
        <v>45923</v>
      </c>
      <c r="M119" s="16">
        <v>45938</v>
      </c>
    </row>
    <row r="120" spans="1:13" x14ac:dyDescent="0.4">
      <c r="A120" s="2" t="s">
        <v>120</v>
      </c>
      <c r="B120" s="2">
        <f>VALUE(REPLACE(CustomerTable[[#This Row],[Ticket]],1,3,""))</f>
        <v>380</v>
      </c>
      <c r="C120" s="2" t="s">
        <v>1023</v>
      </c>
      <c r="D120" s="2" t="s">
        <v>2130</v>
      </c>
      <c r="F120" s="2" t="s">
        <v>398</v>
      </c>
      <c r="G120" s="2" t="str">
        <f>IF(CustomerTable[[#This Row],[Status]]="RESOLVED","Done",IF(CustomerTable[[#This Row],[Status]]="CLOSED","DONE",IF(CustomerTable[[#This Row],[Status]]="DEFERRED","Done","Pending")))</f>
        <v>Done</v>
      </c>
      <c r="H120" s="2" t="s">
        <v>1025</v>
      </c>
      <c r="I120" s="2" t="s">
        <v>389</v>
      </c>
      <c r="J120" s="2" t="s">
        <v>1149</v>
      </c>
      <c r="K120" s="16">
        <v>45923</v>
      </c>
      <c r="M120" s="16">
        <v>46038</v>
      </c>
    </row>
    <row r="121" spans="1:13" x14ac:dyDescent="0.4">
      <c r="A121" s="2" t="s">
        <v>121</v>
      </c>
      <c r="B121" s="2">
        <f>VALUE(REPLACE(CustomerTable[[#This Row],[Ticket]],1,3,""))</f>
        <v>381</v>
      </c>
      <c r="C121" s="2" t="s">
        <v>1023</v>
      </c>
      <c r="D121" s="2" t="s">
        <v>2131</v>
      </c>
      <c r="F121" s="2" t="s">
        <v>398</v>
      </c>
      <c r="G121" s="2" t="str">
        <f>IF(CustomerTable[[#This Row],[Status]]="RESOLVED","Done",IF(CustomerTable[[#This Row],[Status]]="CLOSED","DONE",IF(CustomerTable[[#This Row],[Status]]="DEFERRED","Done","Pending")))</f>
        <v>Done</v>
      </c>
      <c r="H121" s="2" t="s">
        <v>1025</v>
      </c>
      <c r="I121" s="2" t="s">
        <v>389</v>
      </c>
      <c r="J121" s="2" t="s">
        <v>1150</v>
      </c>
      <c r="K121" s="16">
        <v>45923</v>
      </c>
      <c r="M121" s="16">
        <v>45985</v>
      </c>
    </row>
    <row r="122" spans="1:13" x14ac:dyDescent="0.4">
      <c r="A122" s="2" t="s">
        <v>122</v>
      </c>
      <c r="B122" s="2">
        <f>VALUE(REPLACE(CustomerTable[[#This Row],[Ticket]],1,3,""))</f>
        <v>382</v>
      </c>
      <c r="C122" s="2" t="s">
        <v>1023</v>
      </c>
      <c r="D122" s="2" t="s">
        <v>2132</v>
      </c>
      <c r="F122" s="2" t="s">
        <v>398</v>
      </c>
      <c r="G122" s="2" t="str">
        <f>IF(CustomerTable[[#This Row],[Status]]="RESOLVED","Done",IF(CustomerTable[[#This Row],[Status]]="CLOSED","DONE",IF(CustomerTable[[#This Row],[Status]]="DEFERRED","Done","Pending")))</f>
        <v>Done</v>
      </c>
      <c r="H122" s="2" t="s">
        <v>1025</v>
      </c>
      <c r="I122" s="2" t="s">
        <v>395</v>
      </c>
      <c r="J122" s="2" t="s">
        <v>1151</v>
      </c>
      <c r="K122" s="16">
        <v>45923</v>
      </c>
      <c r="M122" s="16">
        <v>45929</v>
      </c>
    </row>
    <row r="123" spans="1:13" x14ac:dyDescent="0.4">
      <c r="A123" s="2" t="s">
        <v>123</v>
      </c>
      <c r="B123" s="2">
        <f>VALUE(REPLACE(CustomerTable[[#This Row],[Ticket]],1,3,""))</f>
        <v>383</v>
      </c>
      <c r="C123" s="2" t="s">
        <v>1023</v>
      </c>
      <c r="D123" s="2" t="s">
        <v>2133</v>
      </c>
      <c r="F123" s="2" t="s">
        <v>398</v>
      </c>
      <c r="G123" s="2" t="str">
        <f>IF(CustomerTable[[#This Row],[Status]]="RESOLVED","Done",IF(CustomerTable[[#This Row],[Status]]="CLOSED","DONE",IF(CustomerTable[[#This Row],[Status]]="DEFERRED","Done","Pending")))</f>
        <v>Done</v>
      </c>
      <c r="H123" s="2" t="s">
        <v>1025</v>
      </c>
      <c r="I123" s="2" t="s">
        <v>389</v>
      </c>
      <c r="J123" s="2" t="s">
        <v>1152</v>
      </c>
      <c r="K123" s="16">
        <v>45923</v>
      </c>
      <c r="M123" s="16">
        <v>45985</v>
      </c>
    </row>
    <row r="124" spans="1:13" x14ac:dyDescent="0.4">
      <c r="A124" s="2" t="s">
        <v>124</v>
      </c>
      <c r="B124" s="2">
        <f>VALUE(REPLACE(CustomerTable[[#This Row],[Ticket]],1,3,""))</f>
        <v>384</v>
      </c>
      <c r="C124" s="2" t="s">
        <v>1023</v>
      </c>
      <c r="D124" s="2" t="s">
        <v>2134</v>
      </c>
      <c r="F124" s="2" t="s">
        <v>398</v>
      </c>
      <c r="G124" s="2" t="str">
        <f>IF(CustomerTable[[#This Row],[Status]]="RESOLVED","Done",IF(CustomerTable[[#This Row],[Status]]="CLOSED","DONE",IF(CustomerTable[[#This Row],[Status]]="DEFERRED","Done","Pending")))</f>
        <v>Done</v>
      </c>
      <c r="H124" s="2" t="s">
        <v>1025</v>
      </c>
      <c r="I124" s="2" t="s">
        <v>389</v>
      </c>
      <c r="J124" s="2" t="s">
        <v>1153</v>
      </c>
      <c r="K124" s="16">
        <v>45924</v>
      </c>
      <c r="M124" s="16">
        <v>45926</v>
      </c>
    </row>
    <row r="125" spans="1:13" x14ac:dyDescent="0.4">
      <c r="A125" s="2" t="s">
        <v>125</v>
      </c>
      <c r="B125" s="2">
        <f>VALUE(REPLACE(CustomerTable[[#This Row],[Ticket]],1,3,""))</f>
        <v>385</v>
      </c>
      <c r="C125" s="2" t="s">
        <v>1023</v>
      </c>
      <c r="D125" s="2" t="s">
        <v>2135</v>
      </c>
      <c r="F125" s="2" t="s">
        <v>398</v>
      </c>
      <c r="G125" s="2" t="str">
        <f>IF(CustomerTable[[#This Row],[Status]]="RESOLVED","Done",IF(CustomerTable[[#This Row],[Status]]="CLOSED","DONE",IF(CustomerTable[[#This Row],[Status]]="DEFERRED","Done","Pending")))</f>
        <v>Done</v>
      </c>
      <c r="H125" s="2" t="s">
        <v>1025</v>
      </c>
      <c r="I125" s="2" t="s">
        <v>389</v>
      </c>
      <c r="J125" s="2" t="s">
        <v>1154</v>
      </c>
      <c r="K125" s="16">
        <v>45924</v>
      </c>
      <c r="M125" s="16">
        <v>45926</v>
      </c>
    </row>
    <row r="126" spans="1:13" x14ac:dyDescent="0.4">
      <c r="A126" s="2" t="s">
        <v>126</v>
      </c>
      <c r="B126" s="2">
        <f>VALUE(REPLACE(CustomerTable[[#This Row],[Ticket]],1,3,""))</f>
        <v>386</v>
      </c>
      <c r="C126" s="2" t="s">
        <v>1023</v>
      </c>
      <c r="D126" s="2" t="s">
        <v>2136</v>
      </c>
      <c r="F126" s="2" t="s">
        <v>398</v>
      </c>
      <c r="G126" s="2" t="str">
        <f>IF(CustomerTable[[#This Row],[Status]]="RESOLVED","Done",IF(CustomerTable[[#This Row],[Status]]="CLOSED","DONE",IF(CustomerTable[[#This Row],[Status]]="DEFERRED","Done","Pending")))</f>
        <v>Done</v>
      </c>
      <c r="H126" s="2" t="s">
        <v>1025</v>
      </c>
      <c r="I126" s="2" t="s">
        <v>389</v>
      </c>
      <c r="J126" s="2" t="s">
        <v>1155</v>
      </c>
      <c r="K126" s="16">
        <v>45925</v>
      </c>
      <c r="M126" s="16">
        <v>45940</v>
      </c>
    </row>
    <row r="127" spans="1:13" x14ac:dyDescent="0.4">
      <c r="A127" s="2" t="s">
        <v>127</v>
      </c>
      <c r="B127" s="2">
        <f>VALUE(REPLACE(CustomerTable[[#This Row],[Ticket]],1,3,""))</f>
        <v>387</v>
      </c>
      <c r="C127" s="2" t="s">
        <v>1023</v>
      </c>
      <c r="D127" s="2" t="s">
        <v>2137</v>
      </c>
      <c r="F127" s="2" t="s">
        <v>398</v>
      </c>
      <c r="G127" s="2" t="str">
        <f>IF(CustomerTable[[#This Row],[Status]]="RESOLVED","Done",IF(CustomerTable[[#This Row],[Status]]="CLOSED","DONE",IF(CustomerTable[[#This Row],[Status]]="DEFERRED","Done","Pending")))</f>
        <v>Done</v>
      </c>
      <c r="H127" s="2" t="s">
        <v>1025</v>
      </c>
      <c r="I127" s="2" t="s">
        <v>389</v>
      </c>
      <c r="J127" s="2" t="s">
        <v>1156</v>
      </c>
      <c r="K127" s="16">
        <v>45925</v>
      </c>
      <c r="M127" s="16">
        <v>45937</v>
      </c>
    </row>
    <row r="128" spans="1:13" x14ac:dyDescent="0.4">
      <c r="A128" s="2" t="s">
        <v>128</v>
      </c>
      <c r="B128" s="2">
        <f>VALUE(REPLACE(CustomerTable[[#This Row],[Ticket]],1,3,""))</f>
        <v>388</v>
      </c>
      <c r="C128" s="2" t="s">
        <v>1023</v>
      </c>
      <c r="D128" s="2" t="s">
        <v>2138</v>
      </c>
      <c r="F128" s="2" t="s">
        <v>398</v>
      </c>
      <c r="G128" s="2" t="str">
        <f>IF(CustomerTable[[#This Row],[Status]]="RESOLVED","Done",IF(CustomerTable[[#This Row],[Status]]="CLOSED","DONE",IF(CustomerTable[[#This Row],[Status]]="DEFERRED","Done","Pending")))</f>
        <v>Done</v>
      </c>
      <c r="H128" s="2" t="s">
        <v>1025</v>
      </c>
      <c r="I128" s="2" t="s">
        <v>391</v>
      </c>
      <c r="J128" s="2" t="s">
        <v>1157</v>
      </c>
      <c r="K128" s="16">
        <v>45925</v>
      </c>
      <c r="M128" s="16">
        <v>45961</v>
      </c>
    </row>
    <row r="129" spans="1:13" x14ac:dyDescent="0.4">
      <c r="A129" s="2" t="s">
        <v>129</v>
      </c>
      <c r="B129" s="2">
        <f>VALUE(REPLACE(CustomerTable[[#This Row],[Ticket]],1,3,""))</f>
        <v>389</v>
      </c>
      <c r="C129" s="2" t="s">
        <v>1023</v>
      </c>
      <c r="D129" s="2" t="s">
        <v>2139</v>
      </c>
      <c r="F129" s="2" t="s">
        <v>398</v>
      </c>
      <c r="G129" s="2" t="str">
        <f>IF(CustomerTable[[#This Row],[Status]]="RESOLVED","Done",IF(CustomerTable[[#This Row],[Status]]="CLOSED","DONE",IF(CustomerTable[[#This Row],[Status]]="DEFERRED","Done","Pending")))</f>
        <v>Done</v>
      </c>
      <c r="H129" s="2" t="s">
        <v>1025</v>
      </c>
      <c r="I129" s="2" t="s">
        <v>390</v>
      </c>
      <c r="J129" s="2" t="s">
        <v>1158</v>
      </c>
      <c r="K129" s="16">
        <v>45926</v>
      </c>
      <c r="M129" s="16">
        <v>45933</v>
      </c>
    </row>
    <row r="130" spans="1:13" x14ac:dyDescent="0.4">
      <c r="A130" s="2" t="s">
        <v>130</v>
      </c>
      <c r="B130" s="2">
        <f>VALUE(REPLACE(CustomerTable[[#This Row],[Ticket]],1,3,""))</f>
        <v>390</v>
      </c>
      <c r="C130" s="2" t="s">
        <v>1023</v>
      </c>
      <c r="D130" s="2" t="s">
        <v>2140</v>
      </c>
      <c r="F130" s="2" t="s">
        <v>398</v>
      </c>
      <c r="G130" s="2" t="str">
        <f>IF(CustomerTable[[#This Row],[Status]]="RESOLVED","Done",IF(CustomerTable[[#This Row],[Status]]="CLOSED","DONE",IF(CustomerTable[[#This Row],[Status]]="DEFERRED","Done","Pending")))</f>
        <v>Done</v>
      </c>
      <c r="H130" s="2" t="s">
        <v>1025</v>
      </c>
      <c r="I130" s="2" t="s">
        <v>389</v>
      </c>
      <c r="J130" s="2" t="s">
        <v>1159</v>
      </c>
      <c r="K130" s="16">
        <v>45926</v>
      </c>
      <c r="M130" s="16">
        <v>45937</v>
      </c>
    </row>
    <row r="131" spans="1:13" x14ac:dyDescent="0.4">
      <c r="A131" s="2" t="s">
        <v>131</v>
      </c>
      <c r="B131" s="2">
        <f>VALUE(REPLACE(CustomerTable[[#This Row],[Ticket]],1,3,""))</f>
        <v>391</v>
      </c>
      <c r="C131" s="2" t="s">
        <v>1023</v>
      </c>
      <c r="D131" s="2" t="s">
        <v>2141</v>
      </c>
      <c r="F131" s="2" t="s">
        <v>398</v>
      </c>
      <c r="G131" s="2" t="str">
        <f>IF(CustomerTable[[#This Row],[Status]]="RESOLVED","Done",IF(CustomerTable[[#This Row],[Status]]="CLOSED","DONE",IF(CustomerTable[[#This Row],[Status]]="DEFERRED","Done","Pending")))</f>
        <v>Done</v>
      </c>
      <c r="H131" s="2" t="s">
        <v>1025</v>
      </c>
      <c r="I131" s="2" t="s">
        <v>392</v>
      </c>
      <c r="J131" s="2" t="s">
        <v>1160</v>
      </c>
      <c r="K131" s="16">
        <v>45926</v>
      </c>
      <c r="M131" s="16">
        <v>45933</v>
      </c>
    </row>
    <row r="132" spans="1:13" x14ac:dyDescent="0.4">
      <c r="A132" s="2" t="s">
        <v>132</v>
      </c>
      <c r="B132" s="2">
        <f>VALUE(REPLACE(CustomerTable[[#This Row],[Ticket]],1,3,""))</f>
        <v>392</v>
      </c>
      <c r="C132" s="2" t="s">
        <v>1023</v>
      </c>
      <c r="D132" s="2" t="s">
        <v>2142</v>
      </c>
      <c r="F132" s="2" t="s">
        <v>398</v>
      </c>
      <c r="G132" s="2" t="str">
        <f>IF(CustomerTable[[#This Row],[Status]]="RESOLVED","Done",IF(CustomerTable[[#This Row],[Status]]="CLOSED","DONE",IF(CustomerTable[[#This Row],[Status]]="DEFERRED","Done","Pending")))</f>
        <v>Done</v>
      </c>
      <c r="H132" s="2" t="s">
        <v>1032</v>
      </c>
      <c r="I132" s="2" t="s">
        <v>390</v>
      </c>
      <c r="J132" s="2" t="s">
        <v>1161</v>
      </c>
      <c r="K132" s="16">
        <v>45926</v>
      </c>
      <c r="M132" s="16">
        <v>45933</v>
      </c>
    </row>
    <row r="133" spans="1:13" x14ac:dyDescent="0.4">
      <c r="A133" s="2" t="s">
        <v>133</v>
      </c>
      <c r="B133" s="2">
        <f>VALUE(REPLACE(CustomerTable[[#This Row],[Ticket]],1,3,""))</f>
        <v>393</v>
      </c>
      <c r="C133" s="2" t="s">
        <v>1023</v>
      </c>
      <c r="D133" s="2" t="s">
        <v>2143</v>
      </c>
      <c r="F133" s="2" t="s">
        <v>398</v>
      </c>
      <c r="G133" s="2" t="str">
        <f>IF(CustomerTable[[#This Row],[Status]]="RESOLVED","Done",IF(CustomerTable[[#This Row],[Status]]="CLOSED","DONE",IF(CustomerTable[[#This Row],[Status]]="DEFERRED","Done","Pending")))</f>
        <v>Done</v>
      </c>
      <c r="H133" s="2" t="s">
        <v>1025</v>
      </c>
      <c r="I133" s="2" t="s">
        <v>391</v>
      </c>
      <c r="J133" s="2" t="s">
        <v>1162</v>
      </c>
      <c r="K133" s="16">
        <v>45929</v>
      </c>
      <c r="M133" s="16">
        <v>45985</v>
      </c>
    </row>
    <row r="134" spans="1:13" x14ac:dyDescent="0.4">
      <c r="A134" s="2" t="s">
        <v>134</v>
      </c>
      <c r="B134" s="2">
        <f>VALUE(REPLACE(CustomerTable[[#This Row],[Ticket]],1,3,""))</f>
        <v>394</v>
      </c>
      <c r="C134" s="2" t="s">
        <v>1023</v>
      </c>
      <c r="D134" s="2" t="s">
        <v>2144</v>
      </c>
      <c r="F134" s="2" t="s">
        <v>398</v>
      </c>
      <c r="G134" s="2" t="str">
        <f>IF(CustomerTable[[#This Row],[Status]]="RESOLVED","Done",IF(CustomerTable[[#This Row],[Status]]="CLOSED","DONE",IF(CustomerTable[[#This Row],[Status]]="DEFERRED","Done","Pending")))</f>
        <v>Done</v>
      </c>
      <c r="H134" s="2" t="s">
        <v>1025</v>
      </c>
      <c r="I134" s="2" t="s">
        <v>393</v>
      </c>
      <c r="J134" s="2" t="s">
        <v>1163</v>
      </c>
      <c r="K134" s="16">
        <v>45929</v>
      </c>
      <c r="M134" s="16">
        <v>45931</v>
      </c>
    </row>
    <row r="135" spans="1:13" x14ac:dyDescent="0.4">
      <c r="A135" s="2" t="s">
        <v>135</v>
      </c>
      <c r="B135" s="2">
        <f>VALUE(REPLACE(CustomerTable[[#This Row],[Ticket]],1,3,""))</f>
        <v>395</v>
      </c>
      <c r="C135" s="2" t="s">
        <v>1023</v>
      </c>
      <c r="D135" s="2" t="s">
        <v>2145</v>
      </c>
      <c r="F135" s="2" t="s">
        <v>398</v>
      </c>
      <c r="G135" s="2" t="str">
        <f>IF(CustomerTable[[#This Row],[Status]]="RESOLVED","Done",IF(CustomerTable[[#This Row],[Status]]="CLOSED","DONE",IF(CustomerTable[[#This Row],[Status]]="DEFERRED","Done","Pending")))</f>
        <v>Done</v>
      </c>
      <c r="H135" s="2" t="s">
        <v>1025</v>
      </c>
      <c r="I135" s="2" t="s">
        <v>389</v>
      </c>
      <c r="J135" s="2" t="s">
        <v>1164</v>
      </c>
      <c r="K135" s="16">
        <v>45929</v>
      </c>
      <c r="M135" s="16">
        <v>46038</v>
      </c>
    </row>
    <row r="136" spans="1:13" x14ac:dyDescent="0.4">
      <c r="A136" s="2" t="s">
        <v>136</v>
      </c>
      <c r="B136" s="2">
        <f>VALUE(REPLACE(CustomerTable[[#This Row],[Ticket]],1,3,""))</f>
        <v>396</v>
      </c>
      <c r="C136" s="2" t="s">
        <v>1023</v>
      </c>
      <c r="D136" s="2" t="s">
        <v>2146</v>
      </c>
      <c r="F136" s="2" t="s">
        <v>398</v>
      </c>
      <c r="G136" s="2" t="str">
        <f>IF(CustomerTable[[#This Row],[Status]]="RESOLVED","Done",IF(CustomerTable[[#This Row],[Status]]="CLOSED","DONE",IF(CustomerTable[[#This Row],[Status]]="DEFERRED","Done","Pending")))</f>
        <v>Done</v>
      </c>
      <c r="H136" s="2" t="s">
        <v>1025</v>
      </c>
      <c r="I136" s="2" t="s">
        <v>389</v>
      </c>
      <c r="J136" s="2" t="s">
        <v>1165</v>
      </c>
      <c r="K136" s="16">
        <v>45929</v>
      </c>
      <c r="M136" s="16">
        <v>46038</v>
      </c>
    </row>
    <row r="137" spans="1:13" x14ac:dyDescent="0.4">
      <c r="A137" s="2" t="s">
        <v>137</v>
      </c>
      <c r="B137" s="2">
        <f>VALUE(REPLACE(CustomerTable[[#This Row],[Ticket]],1,3,""))</f>
        <v>397</v>
      </c>
      <c r="C137" s="2" t="s">
        <v>1023</v>
      </c>
      <c r="D137" s="2" t="s">
        <v>2147</v>
      </c>
      <c r="F137" s="2" t="s">
        <v>398</v>
      </c>
      <c r="G137" s="2" t="str">
        <f>IF(CustomerTable[[#This Row],[Status]]="RESOLVED","Done",IF(CustomerTable[[#This Row],[Status]]="CLOSED","DONE",IF(CustomerTable[[#This Row],[Status]]="DEFERRED","Done","Pending")))</f>
        <v>Done</v>
      </c>
      <c r="H137" s="2" t="s">
        <v>1025</v>
      </c>
      <c r="I137" s="2" t="s">
        <v>389</v>
      </c>
      <c r="J137" s="2" t="s">
        <v>1166</v>
      </c>
      <c r="K137" s="16">
        <v>45929</v>
      </c>
      <c r="M137" s="16">
        <v>45986</v>
      </c>
    </row>
    <row r="138" spans="1:13" x14ac:dyDescent="0.4">
      <c r="A138" s="2" t="s">
        <v>138</v>
      </c>
      <c r="B138" s="2">
        <f>VALUE(REPLACE(CustomerTable[[#This Row],[Ticket]],1,3,""))</f>
        <v>398</v>
      </c>
      <c r="C138" s="2" t="s">
        <v>1023</v>
      </c>
      <c r="D138" s="2" t="s">
        <v>2148</v>
      </c>
      <c r="F138" s="2" t="s">
        <v>398</v>
      </c>
      <c r="G138" s="2" t="str">
        <f>IF(CustomerTable[[#This Row],[Status]]="RESOLVED","Done",IF(CustomerTable[[#This Row],[Status]]="CLOSED","DONE",IF(CustomerTable[[#This Row],[Status]]="DEFERRED","Done","Pending")))</f>
        <v>Done</v>
      </c>
      <c r="H138" s="2" t="s">
        <v>1025</v>
      </c>
      <c r="I138" s="2" t="s">
        <v>389</v>
      </c>
      <c r="J138" s="2" t="s">
        <v>1167</v>
      </c>
      <c r="K138" s="16">
        <v>45930</v>
      </c>
      <c r="M138" s="16">
        <v>45936</v>
      </c>
    </row>
    <row r="139" spans="1:13" x14ac:dyDescent="0.4">
      <c r="A139" s="2" t="s">
        <v>139</v>
      </c>
      <c r="B139" s="2">
        <f>VALUE(REPLACE(CustomerTable[[#This Row],[Ticket]],1,3,""))</f>
        <v>399</v>
      </c>
      <c r="C139" s="2" t="s">
        <v>1023</v>
      </c>
      <c r="D139" s="2" t="s">
        <v>2149</v>
      </c>
      <c r="F139" s="2" t="s">
        <v>398</v>
      </c>
      <c r="G139" s="2" t="str">
        <f>IF(CustomerTable[[#This Row],[Status]]="RESOLVED","Done",IF(CustomerTable[[#This Row],[Status]]="CLOSED","DONE",IF(CustomerTable[[#This Row],[Status]]="DEFERRED","Done","Pending")))</f>
        <v>Done</v>
      </c>
      <c r="H139" s="2" t="s">
        <v>1025</v>
      </c>
      <c r="I139" s="2" t="s">
        <v>389</v>
      </c>
      <c r="J139" s="2" t="s">
        <v>1168</v>
      </c>
      <c r="K139" s="16"/>
      <c r="M139" s="16">
        <v>45974</v>
      </c>
    </row>
    <row r="140" spans="1:13" x14ac:dyDescent="0.4">
      <c r="A140" s="2" t="s">
        <v>140</v>
      </c>
      <c r="B140" s="2">
        <f>VALUE(REPLACE(CustomerTable[[#This Row],[Ticket]],1,3,""))</f>
        <v>400</v>
      </c>
      <c r="C140" s="2" t="s">
        <v>1023</v>
      </c>
      <c r="D140" s="2" t="s">
        <v>2150</v>
      </c>
      <c r="F140" s="2" t="s">
        <v>398</v>
      </c>
      <c r="G140" s="2" t="str">
        <f>IF(CustomerTable[[#This Row],[Status]]="RESOLVED","Done",IF(CustomerTable[[#This Row],[Status]]="CLOSED","DONE",IF(CustomerTable[[#This Row],[Status]]="DEFERRED","Done","Pending")))</f>
        <v>Done</v>
      </c>
      <c r="H140" s="2" t="s">
        <v>1032</v>
      </c>
      <c r="I140" s="2" t="s">
        <v>392</v>
      </c>
      <c r="J140" s="2" t="s">
        <v>1169</v>
      </c>
      <c r="K140" s="16">
        <v>45923</v>
      </c>
      <c r="M140" s="16">
        <v>45937</v>
      </c>
    </row>
    <row r="141" spans="1:13" x14ac:dyDescent="0.4">
      <c r="A141" s="2" t="s">
        <v>141</v>
      </c>
      <c r="B141" s="2">
        <f>VALUE(REPLACE(CustomerTable[[#This Row],[Ticket]],1,3,""))</f>
        <v>401</v>
      </c>
      <c r="C141" s="2" t="s">
        <v>1024</v>
      </c>
      <c r="D141" s="2" t="s">
        <v>2151</v>
      </c>
      <c r="E141" s="2" t="s">
        <v>405</v>
      </c>
      <c r="F141" s="2" t="s">
        <v>398</v>
      </c>
      <c r="G141" s="2" t="str">
        <f>IF(CustomerTable[[#This Row],[Status]]="RESOLVED","Done",IF(CustomerTable[[#This Row],[Status]]="CLOSED","DONE",IF(CustomerTable[[#This Row],[Status]]="DEFERRED","Done","Pending")))</f>
        <v>Done</v>
      </c>
      <c r="H141" s="2" t="s">
        <v>1032</v>
      </c>
      <c r="I141" s="2" t="s">
        <v>392</v>
      </c>
      <c r="J141" s="2" t="s">
        <v>1170</v>
      </c>
      <c r="K141" s="16">
        <v>45932</v>
      </c>
      <c r="M141" s="16">
        <v>45979</v>
      </c>
    </row>
    <row r="142" spans="1:13" x14ac:dyDescent="0.4">
      <c r="A142" s="2" t="s">
        <v>142</v>
      </c>
      <c r="B142" s="2">
        <f>VALUE(REPLACE(CustomerTable[[#This Row],[Ticket]],1,3,""))</f>
        <v>402</v>
      </c>
      <c r="C142" s="2" t="s">
        <v>1024</v>
      </c>
      <c r="D142" s="2" t="s">
        <v>2152</v>
      </c>
      <c r="E142" s="2" t="s">
        <v>405</v>
      </c>
      <c r="F142" s="2" t="s">
        <v>398</v>
      </c>
      <c r="G142" s="2" t="str">
        <f>IF(CustomerTable[[#This Row],[Status]]="RESOLVED","Done",IF(CustomerTable[[#This Row],[Status]]="CLOSED","DONE",IF(CustomerTable[[#This Row],[Status]]="DEFERRED","Done","Pending")))</f>
        <v>Done</v>
      </c>
      <c r="H142" s="2" t="s">
        <v>1032</v>
      </c>
      <c r="I142" s="2" t="s">
        <v>392</v>
      </c>
      <c r="J142" s="2" t="s">
        <v>1171</v>
      </c>
      <c r="K142" s="16">
        <v>45932</v>
      </c>
      <c r="M142" s="16">
        <v>45941</v>
      </c>
    </row>
    <row r="143" spans="1:13" x14ac:dyDescent="0.4">
      <c r="A143" s="2" t="s">
        <v>143</v>
      </c>
      <c r="B143" s="2">
        <f>VALUE(REPLACE(CustomerTable[[#This Row],[Ticket]],1,3,""))</f>
        <v>403</v>
      </c>
      <c r="C143" s="2" t="s">
        <v>1023</v>
      </c>
      <c r="D143" s="2" t="s">
        <v>2153</v>
      </c>
      <c r="E143" s="2" t="s">
        <v>405</v>
      </c>
      <c r="F143" s="2" t="s">
        <v>398</v>
      </c>
      <c r="G143" s="2" t="str">
        <f>IF(CustomerTable[[#This Row],[Status]]="RESOLVED","Done",IF(CustomerTable[[#This Row],[Status]]="CLOSED","DONE",IF(CustomerTable[[#This Row],[Status]]="DEFERRED","Done","Pending")))</f>
        <v>Done</v>
      </c>
      <c r="H143" s="2" t="s">
        <v>1032</v>
      </c>
      <c r="I143" s="2" t="s">
        <v>390</v>
      </c>
      <c r="J143" s="2" t="s">
        <v>1172</v>
      </c>
      <c r="K143" s="16">
        <v>45932</v>
      </c>
      <c r="M143" s="16">
        <v>45944</v>
      </c>
    </row>
    <row r="144" spans="1:13" x14ac:dyDescent="0.4">
      <c r="A144" s="2" t="s">
        <v>144</v>
      </c>
      <c r="B144" s="2">
        <f>VALUE(REPLACE(CustomerTable[[#This Row],[Ticket]],1,3,""))</f>
        <v>404</v>
      </c>
      <c r="C144" s="2" t="s">
        <v>1023</v>
      </c>
      <c r="D144" s="2" t="s">
        <v>2154</v>
      </c>
      <c r="E144" s="2" t="s">
        <v>405</v>
      </c>
      <c r="F144" s="2" t="s">
        <v>398</v>
      </c>
      <c r="G144" s="2" t="str">
        <f>IF(CustomerTable[[#This Row],[Status]]="RESOLVED","Done",IF(CustomerTable[[#This Row],[Status]]="CLOSED","DONE",IF(CustomerTable[[#This Row],[Status]]="DEFERRED","Done","Pending")))</f>
        <v>Done</v>
      </c>
      <c r="H144" s="2" t="s">
        <v>1032</v>
      </c>
      <c r="I144" s="2" t="s">
        <v>394</v>
      </c>
      <c r="J144" s="2" t="s">
        <v>1173</v>
      </c>
      <c r="K144" s="16">
        <v>45933</v>
      </c>
      <c r="M144" s="16">
        <v>45945</v>
      </c>
    </row>
    <row r="145" spans="1:13" x14ac:dyDescent="0.4">
      <c r="A145" s="2" t="s">
        <v>145</v>
      </c>
      <c r="B145" s="2">
        <f>VALUE(REPLACE(CustomerTable[[#This Row],[Ticket]],1,3,""))</f>
        <v>405</v>
      </c>
      <c r="C145" s="2" t="s">
        <v>1023</v>
      </c>
      <c r="D145" s="2" t="s">
        <v>2155</v>
      </c>
      <c r="F145" s="2" t="s">
        <v>398</v>
      </c>
      <c r="G145" s="2" t="str">
        <f>IF(CustomerTable[[#This Row],[Status]]="RESOLVED","Done",IF(CustomerTable[[#This Row],[Status]]="CLOSED","DONE",IF(CustomerTable[[#This Row],[Status]]="DEFERRED","Done","Pending")))</f>
        <v>Done</v>
      </c>
      <c r="H145" s="2" t="s">
        <v>1025</v>
      </c>
      <c r="I145" s="2" t="s">
        <v>389</v>
      </c>
      <c r="J145" s="2" t="s">
        <v>1174</v>
      </c>
      <c r="K145" s="16">
        <v>45933</v>
      </c>
      <c r="M145" s="16">
        <v>45944</v>
      </c>
    </row>
    <row r="146" spans="1:13" x14ac:dyDescent="0.4">
      <c r="A146" s="2" t="s">
        <v>146</v>
      </c>
      <c r="B146" s="2">
        <f>VALUE(REPLACE(CustomerTable[[#This Row],[Ticket]],1,3,""))</f>
        <v>406</v>
      </c>
      <c r="C146" s="2" t="s">
        <v>1023</v>
      </c>
      <c r="D146" s="2" t="s">
        <v>2156</v>
      </c>
      <c r="E146" s="2" t="s">
        <v>405</v>
      </c>
      <c r="F146" s="2" t="s">
        <v>398</v>
      </c>
      <c r="G146" s="2" t="str">
        <f>IF(CustomerTable[[#This Row],[Status]]="RESOLVED","Done",IF(CustomerTable[[#This Row],[Status]]="CLOSED","DONE",IF(CustomerTable[[#This Row],[Status]]="DEFERRED","Done","Pending")))</f>
        <v>Done</v>
      </c>
      <c r="H146" s="2" t="s">
        <v>1025</v>
      </c>
      <c r="I146" s="2" t="s">
        <v>389</v>
      </c>
      <c r="J146" s="2" t="s">
        <v>1175</v>
      </c>
      <c r="K146" s="16">
        <v>45933</v>
      </c>
      <c r="M146" s="16">
        <v>45948</v>
      </c>
    </row>
    <row r="147" spans="1:13" x14ac:dyDescent="0.4">
      <c r="A147" s="2" t="s">
        <v>147</v>
      </c>
      <c r="B147" s="2">
        <f>VALUE(REPLACE(CustomerTable[[#This Row],[Ticket]],1,3,""))</f>
        <v>407</v>
      </c>
      <c r="C147" s="2" t="s">
        <v>1023</v>
      </c>
      <c r="D147" s="2" t="s">
        <v>2157</v>
      </c>
      <c r="F147" s="2" t="s">
        <v>398</v>
      </c>
      <c r="G147" s="2" t="str">
        <f>IF(CustomerTable[[#This Row],[Status]]="RESOLVED","Done",IF(CustomerTable[[#This Row],[Status]]="CLOSED","DONE",IF(CustomerTable[[#This Row],[Status]]="DEFERRED","Done","Pending")))</f>
        <v>Done</v>
      </c>
      <c r="H147" s="2" t="s">
        <v>1032</v>
      </c>
      <c r="I147" s="2" t="s">
        <v>392</v>
      </c>
      <c r="J147" s="2" t="s">
        <v>1176</v>
      </c>
      <c r="K147" s="16">
        <v>45937</v>
      </c>
      <c r="M147" s="16">
        <v>46007</v>
      </c>
    </row>
    <row r="148" spans="1:13" x14ac:dyDescent="0.4">
      <c r="A148" s="2" t="s">
        <v>148</v>
      </c>
      <c r="B148" s="2">
        <f>VALUE(REPLACE(CustomerTable[[#This Row],[Ticket]],1,3,""))</f>
        <v>409</v>
      </c>
      <c r="C148" s="2" t="s">
        <v>1023</v>
      </c>
      <c r="D148" s="2" t="s">
        <v>2158</v>
      </c>
      <c r="F148" s="2" t="s">
        <v>398</v>
      </c>
      <c r="G148" s="2" t="str">
        <f>IF(CustomerTable[[#This Row],[Status]]="RESOLVED","Done",IF(CustomerTable[[#This Row],[Status]]="CLOSED","DONE",IF(CustomerTable[[#This Row],[Status]]="DEFERRED","Done","Pending")))</f>
        <v>Done</v>
      </c>
      <c r="H148" s="2" t="s">
        <v>1025</v>
      </c>
      <c r="I148" s="2" t="s">
        <v>390</v>
      </c>
      <c r="J148" s="2" t="s">
        <v>1177</v>
      </c>
      <c r="K148" s="16">
        <v>45938</v>
      </c>
      <c r="M148" s="16">
        <v>46038</v>
      </c>
    </row>
    <row r="149" spans="1:13" x14ac:dyDescent="0.4">
      <c r="A149" s="2" t="s">
        <v>149</v>
      </c>
      <c r="B149" s="2">
        <f>VALUE(REPLACE(CustomerTable[[#This Row],[Ticket]],1,3,""))</f>
        <v>410</v>
      </c>
      <c r="C149" s="2" t="s">
        <v>1023</v>
      </c>
      <c r="D149" s="2" t="s">
        <v>2159</v>
      </c>
      <c r="F149" s="2" t="s">
        <v>398</v>
      </c>
      <c r="G149" s="2" t="str">
        <f>IF(CustomerTable[[#This Row],[Status]]="RESOLVED","Done",IF(CustomerTable[[#This Row],[Status]]="CLOSED","DONE",IF(CustomerTable[[#This Row],[Status]]="DEFERRED","Done","Pending")))</f>
        <v>Done</v>
      </c>
      <c r="H149" s="2" t="s">
        <v>11</v>
      </c>
      <c r="I149" s="2" t="s">
        <v>388</v>
      </c>
      <c r="J149" s="2" t="s">
        <v>1178</v>
      </c>
      <c r="K149" s="16">
        <v>45938</v>
      </c>
      <c r="M149" s="16">
        <v>45986</v>
      </c>
    </row>
    <row r="150" spans="1:13" x14ac:dyDescent="0.4">
      <c r="A150" s="2" t="s">
        <v>150</v>
      </c>
      <c r="B150" s="2">
        <f>VALUE(REPLACE(CustomerTable[[#This Row],[Ticket]],1,3,""))</f>
        <v>411</v>
      </c>
      <c r="C150" s="2" t="s">
        <v>1023</v>
      </c>
      <c r="D150" s="2" t="s">
        <v>2160</v>
      </c>
      <c r="F150" s="2" t="s">
        <v>398</v>
      </c>
      <c r="G150" s="2" t="str">
        <f>IF(CustomerTable[[#This Row],[Status]]="RESOLVED","Done",IF(CustomerTable[[#This Row],[Status]]="CLOSED","DONE",IF(CustomerTable[[#This Row],[Status]]="DEFERRED","Done","Pending")))</f>
        <v>Done</v>
      </c>
      <c r="H150" s="2" t="s">
        <v>1025</v>
      </c>
      <c r="I150" s="2" t="s">
        <v>392</v>
      </c>
      <c r="J150" s="2" t="s">
        <v>1179</v>
      </c>
      <c r="K150" s="16">
        <v>45938</v>
      </c>
      <c r="M150" s="16">
        <v>45960</v>
      </c>
    </row>
    <row r="151" spans="1:13" x14ac:dyDescent="0.4">
      <c r="A151" s="2" t="s">
        <v>151</v>
      </c>
      <c r="B151" s="2">
        <f>VALUE(REPLACE(CustomerTable[[#This Row],[Ticket]],1,3,""))</f>
        <v>412</v>
      </c>
      <c r="C151" s="2" t="s">
        <v>1023</v>
      </c>
      <c r="D151" s="2" t="s">
        <v>2161</v>
      </c>
      <c r="F151" s="2" t="s">
        <v>398</v>
      </c>
      <c r="G151" s="2" t="str">
        <f>IF(CustomerTable[[#This Row],[Status]]="RESOLVED","Done",IF(CustomerTable[[#This Row],[Status]]="CLOSED","DONE",IF(CustomerTable[[#This Row],[Status]]="DEFERRED","Done","Pending")))</f>
        <v>Done</v>
      </c>
      <c r="H151" s="2" t="s">
        <v>1025</v>
      </c>
      <c r="I151" s="2" t="s">
        <v>390</v>
      </c>
      <c r="J151" s="2" t="s">
        <v>1180</v>
      </c>
      <c r="K151" s="16">
        <v>45938</v>
      </c>
      <c r="M151" s="16">
        <v>45986</v>
      </c>
    </row>
    <row r="152" spans="1:13" x14ac:dyDescent="0.4">
      <c r="A152" s="2" t="s">
        <v>152</v>
      </c>
      <c r="B152" s="2">
        <f>VALUE(REPLACE(CustomerTable[[#This Row],[Ticket]],1,3,""))</f>
        <v>413</v>
      </c>
      <c r="C152" s="2" t="s">
        <v>1023</v>
      </c>
      <c r="D152" s="2" t="s">
        <v>2162</v>
      </c>
      <c r="E152" s="2" t="s">
        <v>405</v>
      </c>
      <c r="F152" s="2" t="s">
        <v>398</v>
      </c>
      <c r="G152" s="2" t="str">
        <f>IF(CustomerTable[[#This Row],[Status]]="RESOLVED","Done",IF(CustomerTable[[#This Row],[Status]]="CLOSED","DONE",IF(CustomerTable[[#This Row],[Status]]="DEFERRED","Done","Pending")))</f>
        <v>Done</v>
      </c>
      <c r="H152" s="2" t="s">
        <v>1025</v>
      </c>
      <c r="I152" s="2" t="s">
        <v>390</v>
      </c>
      <c r="J152" s="2" t="s">
        <v>1181</v>
      </c>
      <c r="K152" s="16">
        <v>45938</v>
      </c>
      <c r="M152" s="16">
        <v>45986</v>
      </c>
    </row>
    <row r="153" spans="1:13" x14ac:dyDescent="0.4">
      <c r="A153" s="2" t="s">
        <v>153</v>
      </c>
      <c r="B153" s="2">
        <f>VALUE(REPLACE(CustomerTable[[#This Row],[Ticket]],1,3,""))</f>
        <v>414</v>
      </c>
      <c r="C153" s="2" t="s">
        <v>1023</v>
      </c>
      <c r="D153" s="2" t="s">
        <v>2163</v>
      </c>
      <c r="F153" s="2" t="s">
        <v>398</v>
      </c>
      <c r="G153" s="2" t="str">
        <f>IF(CustomerTable[[#This Row],[Status]]="RESOLVED","Done",IF(CustomerTable[[#This Row],[Status]]="CLOSED","DONE",IF(CustomerTable[[#This Row],[Status]]="DEFERRED","Done","Pending")))</f>
        <v>Done</v>
      </c>
      <c r="H153" s="2" t="s">
        <v>1025</v>
      </c>
      <c r="I153" s="2" t="s">
        <v>389</v>
      </c>
      <c r="J153" s="2" t="s">
        <v>1182</v>
      </c>
      <c r="K153" s="16">
        <v>45939</v>
      </c>
      <c r="M153" s="16">
        <v>45966</v>
      </c>
    </row>
    <row r="154" spans="1:13" x14ac:dyDescent="0.4">
      <c r="A154" s="2" t="s">
        <v>154</v>
      </c>
      <c r="B154" s="2">
        <f>VALUE(REPLACE(CustomerTable[[#This Row],[Ticket]],1,3,""))</f>
        <v>415</v>
      </c>
      <c r="C154" s="2" t="s">
        <v>1023</v>
      </c>
      <c r="D154" s="2" t="s">
        <v>2164</v>
      </c>
      <c r="F154" s="2" t="s">
        <v>398</v>
      </c>
      <c r="G154" s="2" t="str">
        <f>IF(CustomerTable[[#This Row],[Status]]="RESOLVED","Done",IF(CustomerTable[[#This Row],[Status]]="CLOSED","DONE",IF(CustomerTable[[#This Row],[Status]]="DEFERRED","Done","Pending")))</f>
        <v>Done</v>
      </c>
      <c r="H154" s="2" t="s">
        <v>1032</v>
      </c>
      <c r="I154" s="2" t="s">
        <v>389</v>
      </c>
      <c r="J154" s="2" t="s">
        <v>1183</v>
      </c>
      <c r="K154" s="16">
        <v>45939</v>
      </c>
      <c r="M154" s="16">
        <v>45946</v>
      </c>
    </row>
    <row r="155" spans="1:13" x14ac:dyDescent="0.4">
      <c r="A155" s="2" t="s">
        <v>155</v>
      </c>
      <c r="B155" s="2">
        <f>VALUE(REPLACE(CustomerTable[[#This Row],[Ticket]],1,3,""))</f>
        <v>416</v>
      </c>
      <c r="C155" s="2" t="s">
        <v>1023</v>
      </c>
      <c r="D155" s="2" t="s">
        <v>2165</v>
      </c>
      <c r="F155" s="2" t="s">
        <v>398</v>
      </c>
      <c r="G155" s="2" t="str">
        <f>IF(CustomerTable[[#This Row],[Status]]="RESOLVED","Done",IF(CustomerTable[[#This Row],[Status]]="CLOSED","DONE",IF(CustomerTable[[#This Row],[Status]]="DEFERRED","Done","Pending")))</f>
        <v>Done</v>
      </c>
      <c r="H155" s="2" t="s">
        <v>1025</v>
      </c>
      <c r="I155" s="2" t="s">
        <v>389</v>
      </c>
      <c r="J155" s="2" t="s">
        <v>1184</v>
      </c>
      <c r="K155" s="16">
        <v>45939</v>
      </c>
      <c r="M155" s="16">
        <v>45986</v>
      </c>
    </row>
    <row r="156" spans="1:13" x14ac:dyDescent="0.4">
      <c r="A156" s="2" t="s">
        <v>156</v>
      </c>
      <c r="B156" s="2">
        <f>VALUE(REPLACE(CustomerTable[[#This Row],[Ticket]],1,3,""))</f>
        <v>417</v>
      </c>
      <c r="C156" s="2" t="s">
        <v>1023</v>
      </c>
      <c r="D156" s="2" t="s">
        <v>2166</v>
      </c>
      <c r="F156" s="2" t="s">
        <v>398</v>
      </c>
      <c r="G156" s="2" t="str">
        <f>IF(CustomerTable[[#This Row],[Status]]="RESOLVED","Done",IF(CustomerTable[[#This Row],[Status]]="CLOSED","DONE",IF(CustomerTable[[#This Row],[Status]]="DEFERRED","Done","Pending")))</f>
        <v>Done</v>
      </c>
      <c r="H156" s="2" t="s">
        <v>1025</v>
      </c>
      <c r="I156" s="2" t="s">
        <v>392</v>
      </c>
      <c r="J156" s="2" t="s">
        <v>1185</v>
      </c>
      <c r="K156" s="16">
        <v>45939</v>
      </c>
      <c r="M156" s="16">
        <v>45944</v>
      </c>
    </row>
    <row r="157" spans="1:13" x14ac:dyDescent="0.4">
      <c r="A157" s="2" t="s">
        <v>157</v>
      </c>
      <c r="B157" s="2">
        <f>VALUE(REPLACE(CustomerTable[[#This Row],[Ticket]],1,3,""))</f>
        <v>418</v>
      </c>
      <c r="C157" s="2" t="s">
        <v>1023</v>
      </c>
      <c r="D157" s="2" t="s">
        <v>2167</v>
      </c>
      <c r="F157" s="2" t="s">
        <v>398</v>
      </c>
      <c r="G157" s="2" t="str">
        <f>IF(CustomerTable[[#This Row],[Status]]="RESOLVED","Done",IF(CustomerTable[[#This Row],[Status]]="CLOSED","DONE",IF(CustomerTable[[#This Row],[Status]]="DEFERRED","Done","Pending")))</f>
        <v>Done</v>
      </c>
      <c r="H157" s="2" t="s">
        <v>1025</v>
      </c>
      <c r="I157" s="2" t="s">
        <v>390</v>
      </c>
      <c r="J157" s="2" t="s">
        <v>1186</v>
      </c>
      <c r="K157" s="16">
        <v>45939</v>
      </c>
      <c r="M157" s="16">
        <v>45946</v>
      </c>
    </row>
    <row r="158" spans="1:13" x14ac:dyDescent="0.4">
      <c r="A158" s="2" t="s">
        <v>158</v>
      </c>
      <c r="B158" s="2">
        <f>VALUE(REPLACE(CustomerTable[[#This Row],[Ticket]],1,3,""))</f>
        <v>419</v>
      </c>
      <c r="C158" s="2" t="s">
        <v>1023</v>
      </c>
      <c r="D158" s="2" t="s">
        <v>2168</v>
      </c>
      <c r="F158" s="2" t="s">
        <v>398</v>
      </c>
      <c r="G158" s="2" t="str">
        <f>IF(CustomerTable[[#This Row],[Status]]="RESOLVED","Done",IF(CustomerTable[[#This Row],[Status]]="CLOSED","DONE",IF(CustomerTable[[#This Row],[Status]]="DEFERRED","Done","Pending")))</f>
        <v>Done</v>
      </c>
      <c r="H158" s="2" t="s">
        <v>1025</v>
      </c>
      <c r="I158" s="2" t="s">
        <v>392</v>
      </c>
      <c r="J158" s="2" t="s">
        <v>1187</v>
      </c>
      <c r="K158" s="16">
        <v>45939</v>
      </c>
      <c r="M158" s="16">
        <v>45959</v>
      </c>
    </row>
    <row r="159" spans="1:13" x14ac:dyDescent="0.4">
      <c r="A159" s="2" t="s">
        <v>159</v>
      </c>
      <c r="B159" s="2">
        <f>VALUE(REPLACE(CustomerTable[[#This Row],[Ticket]],1,3,""))</f>
        <v>420</v>
      </c>
      <c r="C159" s="2" t="s">
        <v>1023</v>
      </c>
      <c r="D159" s="2" t="s">
        <v>2169</v>
      </c>
      <c r="F159" s="2" t="s">
        <v>398</v>
      </c>
      <c r="G159" s="2" t="str">
        <f>IF(CustomerTable[[#This Row],[Status]]="RESOLVED","Done",IF(CustomerTable[[#This Row],[Status]]="CLOSED","DONE",IF(CustomerTable[[#This Row],[Status]]="DEFERRED","Done","Pending")))</f>
        <v>Done</v>
      </c>
      <c r="H159" s="2" t="s">
        <v>1025</v>
      </c>
      <c r="I159" s="2" t="s">
        <v>393</v>
      </c>
      <c r="J159" s="2" t="s">
        <v>1188</v>
      </c>
      <c r="K159" s="16">
        <v>45939</v>
      </c>
      <c r="M159" s="16">
        <v>45950</v>
      </c>
    </row>
    <row r="160" spans="1:13" x14ac:dyDescent="0.4">
      <c r="A160" s="2" t="s">
        <v>160</v>
      </c>
      <c r="B160" s="2">
        <f>VALUE(REPLACE(CustomerTable[[#This Row],[Ticket]],1,3,""))</f>
        <v>421</v>
      </c>
      <c r="C160" s="2" t="s">
        <v>1023</v>
      </c>
      <c r="D160" s="2" t="s">
        <v>2170</v>
      </c>
      <c r="E160" s="2" t="s">
        <v>399</v>
      </c>
      <c r="F160" s="2" t="s">
        <v>413</v>
      </c>
      <c r="G160" s="2" t="str">
        <f>IF(CustomerTable[[#This Row],[Status]]="RESOLVED","Done",IF(CustomerTable[[#This Row],[Status]]="CLOSED","DONE",IF(CustomerTable[[#This Row],[Status]]="DEFERRED","Done","Pending")))</f>
        <v>DONE</v>
      </c>
      <c r="H160" s="2" t="s">
        <v>1025</v>
      </c>
      <c r="I160" s="2" t="s">
        <v>389</v>
      </c>
      <c r="J160" s="2" t="s">
        <v>1189</v>
      </c>
      <c r="K160" s="16">
        <v>45939</v>
      </c>
      <c r="M160" s="16"/>
    </row>
    <row r="161" spans="1:13" x14ac:dyDescent="0.4">
      <c r="A161" s="2" t="s">
        <v>161</v>
      </c>
      <c r="B161" s="2">
        <f>VALUE(REPLACE(CustomerTable[[#This Row],[Ticket]],1,3,""))</f>
        <v>422</v>
      </c>
      <c r="C161" s="2" t="s">
        <v>1023</v>
      </c>
      <c r="D161" s="2" t="s">
        <v>2171</v>
      </c>
      <c r="F161" s="2" t="s">
        <v>398</v>
      </c>
      <c r="G161" s="2" t="str">
        <f>IF(CustomerTable[[#This Row],[Status]]="RESOLVED","Done",IF(CustomerTable[[#This Row],[Status]]="CLOSED","DONE",IF(CustomerTable[[#This Row],[Status]]="DEFERRED","Done","Pending")))</f>
        <v>Done</v>
      </c>
      <c r="H161" s="2" t="s">
        <v>1025</v>
      </c>
      <c r="I161" s="2" t="s">
        <v>390</v>
      </c>
      <c r="J161" s="2" t="s">
        <v>1190</v>
      </c>
      <c r="K161" s="16">
        <v>45940</v>
      </c>
      <c r="M161" s="16"/>
    </row>
    <row r="162" spans="1:13" x14ac:dyDescent="0.4">
      <c r="A162" s="2" t="s">
        <v>162</v>
      </c>
      <c r="B162" s="2">
        <f>VALUE(REPLACE(CustomerTable[[#This Row],[Ticket]],1,3,""))</f>
        <v>423</v>
      </c>
      <c r="C162" s="2" t="s">
        <v>1023</v>
      </c>
      <c r="D162" s="2" t="s">
        <v>2172</v>
      </c>
      <c r="F162" s="2" t="s">
        <v>398</v>
      </c>
      <c r="G162" s="2" t="str">
        <f>IF(CustomerTable[[#This Row],[Status]]="RESOLVED","Done",IF(CustomerTable[[#This Row],[Status]]="CLOSED","DONE",IF(CustomerTable[[#This Row],[Status]]="DEFERRED","Done","Pending")))</f>
        <v>Done</v>
      </c>
      <c r="H162" s="2" t="s">
        <v>1025</v>
      </c>
      <c r="I162" s="2" t="s">
        <v>391</v>
      </c>
      <c r="J162" s="2" t="s">
        <v>1191</v>
      </c>
      <c r="K162" s="16">
        <v>45940</v>
      </c>
      <c r="M162" s="16">
        <v>45950</v>
      </c>
    </row>
    <row r="163" spans="1:13" x14ac:dyDescent="0.4">
      <c r="A163" s="2" t="s">
        <v>163</v>
      </c>
      <c r="B163" s="2">
        <f>VALUE(REPLACE(CustomerTable[[#This Row],[Ticket]],1,3,""))</f>
        <v>424</v>
      </c>
      <c r="C163" s="2" t="s">
        <v>1023</v>
      </c>
      <c r="D163" s="2" t="s">
        <v>2173</v>
      </c>
      <c r="F163" s="2" t="s">
        <v>398</v>
      </c>
      <c r="G163" s="2" t="str">
        <f>IF(CustomerTable[[#This Row],[Status]]="RESOLVED","Done",IF(CustomerTable[[#This Row],[Status]]="CLOSED","DONE",IF(CustomerTable[[#This Row],[Status]]="DEFERRED","Done","Pending")))</f>
        <v>Done</v>
      </c>
      <c r="H163" s="2" t="s">
        <v>1032</v>
      </c>
      <c r="I163" s="2" t="s">
        <v>389</v>
      </c>
      <c r="J163" s="2" t="s">
        <v>1192</v>
      </c>
      <c r="K163" s="16">
        <v>45940</v>
      </c>
      <c r="M163" s="16">
        <v>45966</v>
      </c>
    </row>
    <row r="164" spans="1:13" x14ac:dyDescent="0.4">
      <c r="A164" s="2" t="s">
        <v>164</v>
      </c>
      <c r="B164" s="2">
        <f>VALUE(REPLACE(CustomerTable[[#This Row],[Ticket]],1,3,""))</f>
        <v>425</v>
      </c>
      <c r="C164" s="2" t="s">
        <v>1023</v>
      </c>
      <c r="D164" s="2" t="s">
        <v>2174</v>
      </c>
      <c r="E164" s="2" t="s">
        <v>405</v>
      </c>
      <c r="F164" s="2" t="s">
        <v>398</v>
      </c>
      <c r="G164" s="2" t="str">
        <f>IF(CustomerTable[[#This Row],[Status]]="RESOLVED","Done",IF(CustomerTable[[#This Row],[Status]]="CLOSED","DONE",IF(CustomerTable[[#This Row],[Status]]="DEFERRED","Done","Pending")))</f>
        <v>Done</v>
      </c>
      <c r="H164" s="2" t="s">
        <v>1025</v>
      </c>
      <c r="I164" s="2" t="s">
        <v>389</v>
      </c>
      <c r="J164" s="2" t="s">
        <v>1193</v>
      </c>
      <c r="K164" s="16">
        <v>45940</v>
      </c>
      <c r="M164" s="16">
        <v>45974</v>
      </c>
    </row>
    <row r="165" spans="1:13" x14ac:dyDescent="0.4">
      <c r="A165" s="2" t="s">
        <v>165</v>
      </c>
      <c r="B165" s="2">
        <f>VALUE(REPLACE(CustomerTable[[#This Row],[Ticket]],1,3,""))</f>
        <v>426</v>
      </c>
      <c r="C165" s="2" t="s">
        <v>1023</v>
      </c>
      <c r="D165" s="2" t="s">
        <v>2175</v>
      </c>
      <c r="F165" s="2" t="s">
        <v>398</v>
      </c>
      <c r="G165" s="2" t="str">
        <f>IF(CustomerTable[[#This Row],[Status]]="RESOLVED","Done",IF(CustomerTable[[#This Row],[Status]]="CLOSED","DONE",IF(CustomerTable[[#This Row],[Status]]="DEFERRED","Done","Pending")))</f>
        <v>Done</v>
      </c>
      <c r="H165" s="2" t="s">
        <v>1025</v>
      </c>
      <c r="I165" s="2" t="s">
        <v>391</v>
      </c>
      <c r="J165" s="2" t="s">
        <v>1194</v>
      </c>
      <c r="K165" s="16">
        <v>45940</v>
      </c>
      <c r="M165" s="16">
        <v>45986</v>
      </c>
    </row>
    <row r="166" spans="1:13" x14ac:dyDescent="0.4">
      <c r="A166" s="2" t="s">
        <v>166</v>
      </c>
      <c r="B166" s="2">
        <f>VALUE(REPLACE(CustomerTable[[#This Row],[Ticket]],1,3,""))</f>
        <v>427</v>
      </c>
      <c r="C166" s="2" t="s">
        <v>1023</v>
      </c>
      <c r="D166" s="2" t="s">
        <v>2176</v>
      </c>
      <c r="E166" s="2" t="s">
        <v>405</v>
      </c>
      <c r="F166" s="2" t="s">
        <v>398</v>
      </c>
      <c r="G166" s="2" t="str">
        <f>IF(CustomerTable[[#This Row],[Status]]="RESOLVED","Done",IF(CustomerTable[[#This Row],[Status]]="CLOSED","DONE",IF(CustomerTable[[#This Row],[Status]]="DEFERRED","Done","Pending")))</f>
        <v>Done</v>
      </c>
      <c r="H166" s="2" t="s">
        <v>11</v>
      </c>
      <c r="I166" s="2" t="s">
        <v>395</v>
      </c>
      <c r="J166" s="2" t="s">
        <v>1195</v>
      </c>
      <c r="K166" s="16">
        <v>45943</v>
      </c>
      <c r="M166" s="16">
        <v>45986</v>
      </c>
    </row>
    <row r="167" spans="1:13" x14ac:dyDescent="0.4">
      <c r="A167" s="2" t="s">
        <v>167</v>
      </c>
      <c r="B167" s="2">
        <f>VALUE(REPLACE(CustomerTable[[#This Row],[Ticket]],1,3,""))</f>
        <v>428</v>
      </c>
      <c r="C167" s="2" t="s">
        <v>1023</v>
      </c>
      <c r="D167" s="2" t="s">
        <v>2177</v>
      </c>
      <c r="F167" s="2" t="s">
        <v>398</v>
      </c>
      <c r="G167" s="2" t="str">
        <f>IF(CustomerTable[[#This Row],[Status]]="RESOLVED","Done",IF(CustomerTable[[#This Row],[Status]]="CLOSED","DONE",IF(CustomerTable[[#This Row],[Status]]="DEFERRED","Done","Pending")))</f>
        <v>Done</v>
      </c>
      <c r="H167" s="2" t="s">
        <v>1025</v>
      </c>
      <c r="I167" s="2" t="s">
        <v>391</v>
      </c>
      <c r="J167" s="2" t="s">
        <v>1196</v>
      </c>
      <c r="K167" s="16">
        <v>45943</v>
      </c>
      <c r="M167" s="16">
        <v>45964</v>
      </c>
    </row>
    <row r="168" spans="1:13" x14ac:dyDescent="0.4">
      <c r="A168" s="2" t="s">
        <v>168</v>
      </c>
      <c r="B168" s="2">
        <f>VALUE(REPLACE(CustomerTable[[#This Row],[Ticket]],1,3,""))</f>
        <v>429</v>
      </c>
      <c r="C168" s="2" t="s">
        <v>1023</v>
      </c>
      <c r="D168" s="2" t="s">
        <v>2178</v>
      </c>
      <c r="F168" s="2" t="s">
        <v>398</v>
      </c>
      <c r="G168" s="2" t="str">
        <f>IF(CustomerTable[[#This Row],[Status]]="RESOLVED","Done",IF(CustomerTable[[#This Row],[Status]]="CLOSED","DONE",IF(CustomerTable[[#This Row],[Status]]="DEFERRED","Done","Pending")))</f>
        <v>Done</v>
      </c>
      <c r="H168" s="2" t="s">
        <v>1025</v>
      </c>
      <c r="I168" s="2" t="s">
        <v>391</v>
      </c>
      <c r="J168" s="2" t="s">
        <v>1197</v>
      </c>
      <c r="K168" s="16">
        <v>45943</v>
      </c>
      <c r="M168" s="16">
        <v>45995</v>
      </c>
    </row>
    <row r="169" spans="1:13" x14ac:dyDescent="0.4">
      <c r="A169" s="2" t="s">
        <v>169</v>
      </c>
      <c r="B169" s="2">
        <f>VALUE(REPLACE(CustomerTable[[#This Row],[Ticket]],1,3,""))</f>
        <v>430</v>
      </c>
      <c r="C169" s="2" t="s">
        <v>1024</v>
      </c>
      <c r="D169" s="2" t="s">
        <v>2179</v>
      </c>
      <c r="E169" s="2" t="s">
        <v>405</v>
      </c>
      <c r="F169" s="2" t="s">
        <v>413</v>
      </c>
      <c r="G169" s="2" t="str">
        <f>IF(CustomerTable[[#This Row],[Status]]="RESOLVED","Done",IF(CustomerTable[[#This Row],[Status]]="CLOSED","DONE",IF(CustomerTable[[#This Row],[Status]]="DEFERRED","Done","Pending")))</f>
        <v>DONE</v>
      </c>
      <c r="H169" s="2" t="s">
        <v>1025</v>
      </c>
      <c r="I169" s="2" t="s">
        <v>392</v>
      </c>
      <c r="J169" s="2" t="s">
        <v>1198</v>
      </c>
      <c r="K169" s="16">
        <v>45944</v>
      </c>
      <c r="M169" s="16">
        <v>45986</v>
      </c>
    </row>
    <row r="170" spans="1:13" x14ac:dyDescent="0.4">
      <c r="A170" s="2" t="s">
        <v>170</v>
      </c>
      <c r="B170" s="2">
        <f>VALUE(REPLACE(CustomerTable[[#This Row],[Ticket]],1,3,""))</f>
        <v>431</v>
      </c>
      <c r="C170" s="2" t="s">
        <v>1023</v>
      </c>
      <c r="D170" s="2" t="s">
        <v>2180</v>
      </c>
      <c r="F170" s="2" t="s">
        <v>398</v>
      </c>
      <c r="G170" s="2" t="str">
        <f>IF(CustomerTable[[#This Row],[Status]]="RESOLVED","Done",IF(CustomerTable[[#This Row],[Status]]="CLOSED","DONE",IF(CustomerTable[[#This Row],[Status]]="DEFERRED","Done","Pending")))</f>
        <v>Done</v>
      </c>
      <c r="H170" s="2" t="s">
        <v>1025</v>
      </c>
      <c r="I170" s="2" t="s">
        <v>391</v>
      </c>
      <c r="J170" s="2" t="s">
        <v>1199</v>
      </c>
      <c r="K170" s="16">
        <v>45944</v>
      </c>
      <c r="M170" s="16">
        <v>45986</v>
      </c>
    </row>
    <row r="171" spans="1:13" x14ac:dyDescent="0.4">
      <c r="A171" s="2" t="s">
        <v>171</v>
      </c>
      <c r="B171" s="2">
        <f>VALUE(REPLACE(CustomerTable[[#This Row],[Ticket]],1,3,""))</f>
        <v>432</v>
      </c>
      <c r="C171" s="2" t="s">
        <v>1023</v>
      </c>
      <c r="D171" s="2" t="s">
        <v>2181</v>
      </c>
      <c r="E171" s="2" t="s">
        <v>405</v>
      </c>
      <c r="F171" s="2" t="s">
        <v>413</v>
      </c>
      <c r="G171" s="2" t="str">
        <f>IF(CustomerTable[[#This Row],[Status]]="RESOLVED","Done",IF(CustomerTable[[#This Row],[Status]]="CLOSED","DONE",IF(CustomerTable[[#This Row],[Status]]="DEFERRED","Done","Pending")))</f>
        <v>DONE</v>
      </c>
      <c r="H171" s="2" t="s">
        <v>1025</v>
      </c>
      <c r="I171" s="2" t="s">
        <v>389</v>
      </c>
      <c r="J171" s="2" t="s">
        <v>1200</v>
      </c>
      <c r="K171" s="16">
        <v>45944</v>
      </c>
      <c r="M171" s="16">
        <v>45986</v>
      </c>
    </row>
    <row r="172" spans="1:13" x14ac:dyDescent="0.4">
      <c r="A172" s="2" t="s">
        <v>172</v>
      </c>
      <c r="B172" s="2">
        <f>VALUE(REPLACE(CustomerTable[[#This Row],[Ticket]],1,3,""))</f>
        <v>433</v>
      </c>
      <c r="C172" s="2" t="s">
        <v>1023</v>
      </c>
      <c r="D172" s="2" t="s">
        <v>2182</v>
      </c>
      <c r="E172" s="2" t="s">
        <v>405</v>
      </c>
      <c r="F172" s="2" t="s">
        <v>398</v>
      </c>
      <c r="G172" s="2" t="str">
        <f>IF(CustomerTable[[#This Row],[Status]]="RESOLVED","Done",IF(CustomerTable[[#This Row],[Status]]="CLOSED","DONE",IF(CustomerTable[[#This Row],[Status]]="DEFERRED","Done","Pending")))</f>
        <v>Done</v>
      </c>
      <c r="H172" s="2" t="s">
        <v>1025</v>
      </c>
      <c r="I172" s="2" t="s">
        <v>390</v>
      </c>
      <c r="J172" s="2" t="s">
        <v>1201</v>
      </c>
      <c r="K172" s="16">
        <v>45944</v>
      </c>
      <c r="M172" s="16">
        <v>45974</v>
      </c>
    </row>
    <row r="173" spans="1:13" x14ac:dyDescent="0.4">
      <c r="A173" s="2" t="s">
        <v>173</v>
      </c>
      <c r="B173" s="2">
        <f>VALUE(REPLACE(CustomerTable[[#This Row],[Ticket]],1,3,""))</f>
        <v>434</v>
      </c>
      <c r="C173" s="2" t="s">
        <v>1023</v>
      </c>
      <c r="D173" s="2" t="s">
        <v>2183</v>
      </c>
      <c r="F173" s="2" t="s">
        <v>398</v>
      </c>
      <c r="G173" s="2" t="str">
        <f>IF(CustomerTable[[#This Row],[Status]]="RESOLVED","Done",IF(CustomerTable[[#This Row],[Status]]="CLOSED","DONE",IF(CustomerTable[[#This Row],[Status]]="DEFERRED","Done","Pending")))</f>
        <v>Done</v>
      </c>
      <c r="H173" s="2" t="s">
        <v>1025</v>
      </c>
      <c r="I173" s="2" t="s">
        <v>392</v>
      </c>
      <c r="J173" s="2" t="s">
        <v>1202</v>
      </c>
      <c r="K173" s="16">
        <v>45944</v>
      </c>
      <c r="M173" s="16">
        <v>45995</v>
      </c>
    </row>
    <row r="174" spans="1:13" x14ac:dyDescent="0.4">
      <c r="A174" s="2" t="s">
        <v>174</v>
      </c>
      <c r="B174" s="2">
        <f>VALUE(REPLACE(CustomerTable[[#This Row],[Ticket]],1,3,""))</f>
        <v>435</v>
      </c>
      <c r="C174" s="2" t="s">
        <v>1023</v>
      </c>
      <c r="D174" s="2" t="s">
        <v>2184</v>
      </c>
      <c r="E174" s="2" t="s">
        <v>405</v>
      </c>
      <c r="F174" s="2" t="s">
        <v>398</v>
      </c>
      <c r="G174" s="2" t="str">
        <f>IF(CustomerTable[[#This Row],[Status]]="RESOLVED","Done",IF(CustomerTable[[#This Row],[Status]]="CLOSED","DONE",IF(CustomerTable[[#This Row],[Status]]="DEFERRED","Done","Pending")))</f>
        <v>Done</v>
      </c>
      <c r="H174" s="2" t="s">
        <v>1025</v>
      </c>
      <c r="I174" s="2" t="s">
        <v>391</v>
      </c>
      <c r="J174" s="2" t="s">
        <v>1203</v>
      </c>
      <c r="K174" s="16">
        <v>45945</v>
      </c>
      <c r="M174" s="16">
        <v>45974</v>
      </c>
    </row>
    <row r="175" spans="1:13" x14ac:dyDescent="0.4">
      <c r="A175" s="2" t="s">
        <v>175</v>
      </c>
      <c r="B175" s="2">
        <f>VALUE(REPLACE(CustomerTable[[#This Row],[Ticket]],1,3,""))</f>
        <v>436</v>
      </c>
      <c r="C175" s="2" t="s">
        <v>1023</v>
      </c>
      <c r="D175" s="2" t="s">
        <v>2185</v>
      </c>
      <c r="F175" s="2" t="s">
        <v>398</v>
      </c>
      <c r="G175" s="2" t="str">
        <f>IF(CustomerTable[[#This Row],[Status]]="RESOLVED","Done",IF(CustomerTable[[#This Row],[Status]]="CLOSED","DONE",IF(CustomerTable[[#This Row],[Status]]="DEFERRED","Done","Pending")))</f>
        <v>Done</v>
      </c>
      <c r="H175" s="2" t="s">
        <v>1025</v>
      </c>
      <c r="I175" s="2" t="s">
        <v>389</v>
      </c>
      <c r="J175" s="2" t="s">
        <v>1204</v>
      </c>
      <c r="K175" s="16">
        <v>45945</v>
      </c>
      <c r="M175" s="16">
        <v>45986</v>
      </c>
    </row>
    <row r="176" spans="1:13" x14ac:dyDescent="0.4">
      <c r="A176" s="2" t="s">
        <v>176</v>
      </c>
      <c r="B176" s="2">
        <f>VALUE(REPLACE(CustomerTable[[#This Row],[Ticket]],1,3,""))</f>
        <v>437</v>
      </c>
      <c r="C176" s="2" t="s">
        <v>1023</v>
      </c>
      <c r="D176" s="2" t="s">
        <v>2186</v>
      </c>
      <c r="F176" s="2" t="s">
        <v>398</v>
      </c>
      <c r="G176" s="2" t="str">
        <f>IF(CustomerTable[[#This Row],[Status]]="RESOLVED","Done",IF(CustomerTable[[#This Row],[Status]]="CLOSED","DONE",IF(CustomerTable[[#This Row],[Status]]="DEFERRED","Done","Pending")))</f>
        <v>Done</v>
      </c>
      <c r="H176" s="2" t="s">
        <v>1025</v>
      </c>
      <c r="I176" s="2" t="s">
        <v>390</v>
      </c>
      <c r="J176" s="2" t="s">
        <v>1205</v>
      </c>
      <c r="K176" s="16">
        <v>45945</v>
      </c>
      <c r="M176" s="16">
        <v>45986</v>
      </c>
    </row>
    <row r="177" spans="1:13" x14ac:dyDescent="0.4">
      <c r="A177" s="2" t="s">
        <v>177</v>
      </c>
      <c r="B177" s="2">
        <f>VALUE(REPLACE(CustomerTable[[#This Row],[Ticket]],1,3,""))</f>
        <v>438</v>
      </c>
      <c r="C177" s="2" t="s">
        <v>1023</v>
      </c>
      <c r="D177" s="2" t="s">
        <v>2187</v>
      </c>
      <c r="F177" s="2" t="s">
        <v>398</v>
      </c>
      <c r="G177" s="2" t="str">
        <f>IF(CustomerTable[[#This Row],[Status]]="RESOLVED","Done",IF(CustomerTable[[#This Row],[Status]]="CLOSED","DONE",IF(CustomerTable[[#This Row],[Status]]="DEFERRED","Done","Pending")))</f>
        <v>Done</v>
      </c>
      <c r="H177" s="2" t="s">
        <v>1025</v>
      </c>
      <c r="I177" s="2" t="s">
        <v>389</v>
      </c>
      <c r="J177" s="2" t="s">
        <v>1206</v>
      </c>
      <c r="K177" s="16">
        <v>45945</v>
      </c>
      <c r="M177" s="16">
        <v>45973</v>
      </c>
    </row>
    <row r="178" spans="1:13" x14ac:dyDescent="0.4">
      <c r="A178" s="2" t="s">
        <v>178</v>
      </c>
      <c r="B178" s="2">
        <f>VALUE(REPLACE(CustomerTable[[#This Row],[Ticket]],1,3,""))</f>
        <v>439</v>
      </c>
      <c r="C178" s="2" t="s">
        <v>1023</v>
      </c>
      <c r="D178" s="2" t="s">
        <v>2188</v>
      </c>
      <c r="F178" s="2" t="s">
        <v>398</v>
      </c>
      <c r="G178" s="2" t="str">
        <f>IF(CustomerTable[[#This Row],[Status]]="RESOLVED","Done",IF(CustomerTable[[#This Row],[Status]]="CLOSED","DONE",IF(CustomerTable[[#This Row],[Status]]="DEFERRED","Done","Pending")))</f>
        <v>Done</v>
      </c>
      <c r="H178" s="2" t="s">
        <v>1025</v>
      </c>
      <c r="I178" s="2" t="s">
        <v>389</v>
      </c>
      <c r="J178" s="2" t="s">
        <v>1207</v>
      </c>
      <c r="K178" s="16">
        <v>45945</v>
      </c>
      <c r="M178" s="16">
        <v>45974</v>
      </c>
    </row>
    <row r="179" spans="1:13" x14ac:dyDescent="0.4">
      <c r="A179" s="2" t="s">
        <v>179</v>
      </c>
      <c r="B179" s="2">
        <f>VALUE(REPLACE(CustomerTable[[#This Row],[Ticket]],1,3,""))</f>
        <v>440</v>
      </c>
      <c r="C179" s="2" t="s">
        <v>1023</v>
      </c>
      <c r="D179" s="2" t="s">
        <v>2189</v>
      </c>
      <c r="F179" s="2" t="s">
        <v>398</v>
      </c>
      <c r="G179" s="2" t="str">
        <f>IF(CustomerTable[[#This Row],[Status]]="RESOLVED","Done",IF(CustomerTable[[#This Row],[Status]]="CLOSED","DONE",IF(CustomerTable[[#This Row],[Status]]="DEFERRED","Done","Pending")))</f>
        <v>Done</v>
      </c>
      <c r="H179" s="2" t="s">
        <v>1025</v>
      </c>
      <c r="I179" s="2" t="s">
        <v>389</v>
      </c>
      <c r="J179" s="2" t="s">
        <v>1208</v>
      </c>
      <c r="K179" s="16">
        <v>45945</v>
      </c>
      <c r="M179" s="16">
        <v>45961</v>
      </c>
    </row>
    <row r="180" spans="1:13" x14ac:dyDescent="0.4">
      <c r="A180" s="2" t="s">
        <v>180</v>
      </c>
      <c r="B180" s="2">
        <f>VALUE(REPLACE(CustomerTable[[#This Row],[Ticket]],1,3,""))</f>
        <v>441</v>
      </c>
      <c r="C180" s="2" t="s">
        <v>1023</v>
      </c>
      <c r="D180" s="2" t="s">
        <v>2190</v>
      </c>
      <c r="F180" s="2" t="s">
        <v>398</v>
      </c>
      <c r="G180" s="2" t="str">
        <f>IF(CustomerTable[[#This Row],[Status]]="RESOLVED","Done",IF(CustomerTable[[#This Row],[Status]]="CLOSED","DONE",IF(CustomerTable[[#This Row],[Status]]="DEFERRED","Done","Pending")))</f>
        <v>Done</v>
      </c>
      <c r="H180" s="2" t="s">
        <v>1025</v>
      </c>
      <c r="I180" s="2" t="s">
        <v>389</v>
      </c>
      <c r="J180" s="2" t="s">
        <v>1209</v>
      </c>
      <c r="K180" s="16">
        <v>45945</v>
      </c>
      <c r="M180" s="16">
        <v>45986</v>
      </c>
    </row>
    <row r="181" spans="1:13" x14ac:dyDescent="0.4">
      <c r="A181" s="2" t="s">
        <v>181</v>
      </c>
      <c r="B181" s="2">
        <f>VALUE(REPLACE(CustomerTable[[#This Row],[Ticket]],1,3,""))</f>
        <v>442</v>
      </c>
      <c r="C181" s="2" t="s">
        <v>1023</v>
      </c>
      <c r="D181" s="2" t="s">
        <v>2191</v>
      </c>
      <c r="E181" s="2" t="s">
        <v>405</v>
      </c>
      <c r="F181" s="2" t="s">
        <v>414</v>
      </c>
      <c r="G181" s="2" t="str">
        <f>IF(CustomerTable[[#This Row],[Status]]="RESOLVED","Done",IF(CustomerTable[[#This Row],[Status]]="CLOSED","DONE",IF(CustomerTable[[#This Row],[Status]]="DEFERRED","Done","Pending")))</f>
        <v>Done</v>
      </c>
      <c r="H181" s="2" t="s">
        <v>1025</v>
      </c>
      <c r="I181" s="2" t="s">
        <v>390</v>
      </c>
      <c r="J181" s="2" t="s">
        <v>1210</v>
      </c>
      <c r="K181" s="16">
        <v>45949</v>
      </c>
      <c r="M181" s="16">
        <v>45986</v>
      </c>
    </row>
    <row r="182" spans="1:13" x14ac:dyDescent="0.4">
      <c r="A182" s="2" t="s">
        <v>182</v>
      </c>
      <c r="B182" s="2">
        <f>VALUE(REPLACE(CustomerTable[[#This Row],[Ticket]],1,3,""))</f>
        <v>443</v>
      </c>
      <c r="C182" s="2" t="s">
        <v>1023</v>
      </c>
      <c r="D182" s="2" t="s">
        <v>2192</v>
      </c>
      <c r="F182" s="2" t="s">
        <v>398</v>
      </c>
      <c r="G182" s="2" t="str">
        <f>IF(CustomerTable[[#This Row],[Status]]="RESOLVED","Done",IF(CustomerTable[[#This Row],[Status]]="CLOSED","DONE",IF(CustomerTable[[#This Row],[Status]]="DEFERRED","Done","Pending")))</f>
        <v>Done</v>
      </c>
      <c r="H182" s="2" t="s">
        <v>1025</v>
      </c>
      <c r="I182" s="2" t="s">
        <v>390</v>
      </c>
      <c r="J182" s="2" t="s">
        <v>1211</v>
      </c>
      <c r="K182" s="16">
        <v>45949</v>
      </c>
      <c r="M182" s="16">
        <v>45961</v>
      </c>
    </row>
    <row r="183" spans="1:13" x14ac:dyDescent="0.4">
      <c r="A183" s="2" t="s">
        <v>183</v>
      </c>
      <c r="B183" s="2">
        <f>VALUE(REPLACE(CustomerTable[[#This Row],[Ticket]],1,3,""))</f>
        <v>444</v>
      </c>
      <c r="C183" s="2" t="s">
        <v>1023</v>
      </c>
      <c r="D183" s="2" t="s">
        <v>2193</v>
      </c>
      <c r="F183" s="2" t="s">
        <v>398</v>
      </c>
      <c r="G183" s="2" t="str">
        <f>IF(CustomerTable[[#This Row],[Status]]="RESOLVED","Done",IF(CustomerTable[[#This Row],[Status]]="CLOSED","DONE",IF(CustomerTable[[#This Row],[Status]]="DEFERRED","Done","Pending")))</f>
        <v>Done</v>
      </c>
      <c r="H183" s="2" t="s">
        <v>1025</v>
      </c>
      <c r="I183" s="2" t="s">
        <v>389</v>
      </c>
      <c r="J183" s="2" t="s">
        <v>1212</v>
      </c>
      <c r="K183" s="16">
        <v>45949</v>
      </c>
      <c r="M183" s="16">
        <v>45973</v>
      </c>
    </row>
    <row r="184" spans="1:13" x14ac:dyDescent="0.4">
      <c r="A184" s="2" t="s">
        <v>184</v>
      </c>
      <c r="B184" s="2">
        <f>VALUE(REPLACE(CustomerTable[[#This Row],[Ticket]],1,3,""))</f>
        <v>445</v>
      </c>
      <c r="C184" s="2" t="s">
        <v>1023</v>
      </c>
      <c r="D184" s="2" t="s">
        <v>2194</v>
      </c>
      <c r="F184" s="2" t="s">
        <v>398</v>
      </c>
      <c r="G184" s="2" t="str">
        <f>IF(CustomerTable[[#This Row],[Status]]="RESOLVED","Done",IF(CustomerTable[[#This Row],[Status]]="CLOSED","DONE",IF(CustomerTable[[#This Row],[Status]]="DEFERRED","Done","Pending")))</f>
        <v>Done</v>
      </c>
      <c r="H184" s="2" t="s">
        <v>1032</v>
      </c>
      <c r="I184" s="2" t="s">
        <v>392</v>
      </c>
      <c r="J184" s="2" t="s">
        <v>1213</v>
      </c>
      <c r="K184" s="16">
        <v>45949</v>
      </c>
      <c r="M184" s="16">
        <v>45986</v>
      </c>
    </row>
    <row r="185" spans="1:13" x14ac:dyDescent="0.4">
      <c r="A185" s="2" t="s">
        <v>185</v>
      </c>
      <c r="B185" s="2">
        <f>VALUE(REPLACE(CustomerTable[[#This Row],[Ticket]],1,3,""))</f>
        <v>446</v>
      </c>
      <c r="C185" s="2" t="s">
        <v>1023</v>
      </c>
      <c r="D185" s="2" t="s">
        <v>2195</v>
      </c>
      <c r="F185" s="2" t="s">
        <v>398</v>
      </c>
      <c r="G185" s="2" t="str">
        <f>IF(CustomerTable[[#This Row],[Status]]="RESOLVED","Done",IF(CustomerTable[[#This Row],[Status]]="CLOSED","DONE",IF(CustomerTable[[#This Row],[Status]]="DEFERRED","Done","Pending")))</f>
        <v>Done</v>
      </c>
      <c r="H185" s="2" t="s">
        <v>1025</v>
      </c>
      <c r="I185" s="2" t="s">
        <v>392</v>
      </c>
      <c r="J185" s="2" t="s">
        <v>1214</v>
      </c>
      <c r="K185" s="16">
        <v>45949</v>
      </c>
      <c r="M185" s="16">
        <v>46003</v>
      </c>
    </row>
    <row r="186" spans="1:13" x14ac:dyDescent="0.4">
      <c r="A186" s="2" t="s">
        <v>186</v>
      </c>
      <c r="B186" s="2">
        <f>VALUE(REPLACE(CustomerTable[[#This Row],[Ticket]],1,3,""))</f>
        <v>447</v>
      </c>
      <c r="C186" s="2" t="s">
        <v>1023</v>
      </c>
      <c r="D186" s="2" t="s">
        <v>2196</v>
      </c>
      <c r="F186" s="2" t="s">
        <v>398</v>
      </c>
      <c r="G186" s="2" t="str">
        <f>IF(CustomerTable[[#This Row],[Status]]="RESOLVED","Done",IF(CustomerTable[[#This Row],[Status]]="CLOSED","DONE",IF(CustomerTable[[#This Row],[Status]]="DEFERRED","Done","Pending")))</f>
        <v>Done</v>
      </c>
      <c r="H186" s="2" t="s">
        <v>1025</v>
      </c>
      <c r="I186" s="2" t="s">
        <v>389</v>
      </c>
      <c r="J186" s="2" t="s">
        <v>1215</v>
      </c>
      <c r="K186" s="16">
        <v>45950</v>
      </c>
      <c r="M186" s="16">
        <v>45986</v>
      </c>
    </row>
    <row r="187" spans="1:13" x14ac:dyDescent="0.4">
      <c r="A187" s="2" t="s">
        <v>187</v>
      </c>
      <c r="B187" s="2">
        <f>VALUE(REPLACE(CustomerTable[[#This Row],[Ticket]],1,3,""))</f>
        <v>448</v>
      </c>
      <c r="C187" s="2" t="s">
        <v>1023</v>
      </c>
      <c r="D187" s="2" t="s">
        <v>2197</v>
      </c>
      <c r="E187" s="2" t="s">
        <v>405</v>
      </c>
      <c r="F187" s="2" t="s">
        <v>413</v>
      </c>
      <c r="G187" s="2" t="str">
        <f>IF(CustomerTable[[#This Row],[Status]]="RESOLVED","Done",IF(CustomerTable[[#This Row],[Status]]="CLOSED","DONE",IF(CustomerTable[[#This Row],[Status]]="DEFERRED","Done","Pending")))</f>
        <v>DONE</v>
      </c>
      <c r="H187" s="2" t="s">
        <v>1025</v>
      </c>
      <c r="I187" s="2" t="s">
        <v>389</v>
      </c>
      <c r="J187" s="2" t="s">
        <v>1216</v>
      </c>
      <c r="K187" s="16">
        <v>45950</v>
      </c>
      <c r="M187" s="16">
        <v>45972</v>
      </c>
    </row>
    <row r="188" spans="1:13" x14ac:dyDescent="0.4">
      <c r="A188" s="2" t="s">
        <v>188</v>
      </c>
      <c r="B188" s="2">
        <f>VALUE(REPLACE(CustomerTable[[#This Row],[Ticket]],1,3,""))</f>
        <v>449</v>
      </c>
      <c r="C188" s="2" t="s">
        <v>1023</v>
      </c>
      <c r="D188" s="2" t="s">
        <v>2198</v>
      </c>
      <c r="F188" s="2" t="s">
        <v>398</v>
      </c>
      <c r="G188" s="2" t="str">
        <f>IF(CustomerTable[[#This Row],[Status]]="RESOLVED","Done",IF(CustomerTable[[#This Row],[Status]]="CLOSED","DONE",IF(CustomerTable[[#This Row],[Status]]="DEFERRED","Done","Pending")))</f>
        <v>Done</v>
      </c>
      <c r="H188" s="2" t="s">
        <v>1025</v>
      </c>
      <c r="I188" s="2" t="s">
        <v>389</v>
      </c>
      <c r="J188" s="2" t="s">
        <v>1217</v>
      </c>
      <c r="K188" s="16">
        <v>45952</v>
      </c>
      <c r="M188" s="16">
        <v>45972</v>
      </c>
    </row>
    <row r="189" spans="1:13" x14ac:dyDescent="0.4">
      <c r="A189" s="2" t="s">
        <v>189</v>
      </c>
      <c r="B189" s="2">
        <f>VALUE(REPLACE(CustomerTable[[#This Row],[Ticket]],1,3,""))</f>
        <v>450</v>
      </c>
      <c r="C189" s="2" t="s">
        <v>1023</v>
      </c>
      <c r="D189" s="2" t="s">
        <v>2199</v>
      </c>
      <c r="E189" s="2" t="s">
        <v>405</v>
      </c>
      <c r="F189" s="2" t="s">
        <v>398</v>
      </c>
      <c r="G189" s="2" t="str">
        <f>IF(CustomerTable[[#This Row],[Status]]="RESOLVED","Done",IF(CustomerTable[[#This Row],[Status]]="CLOSED","DONE",IF(CustomerTable[[#This Row],[Status]]="DEFERRED","Done","Pending")))</f>
        <v>Done</v>
      </c>
      <c r="H189" s="2" t="s">
        <v>11</v>
      </c>
      <c r="I189" s="2" t="s">
        <v>392</v>
      </c>
      <c r="J189" s="2" t="s">
        <v>1218</v>
      </c>
      <c r="K189" s="16">
        <v>45952</v>
      </c>
      <c r="M189" s="16">
        <v>45974</v>
      </c>
    </row>
    <row r="190" spans="1:13" x14ac:dyDescent="0.4">
      <c r="A190" s="2" t="s">
        <v>190</v>
      </c>
      <c r="B190" s="2">
        <f>VALUE(REPLACE(CustomerTable[[#This Row],[Ticket]],1,3,""))</f>
        <v>451</v>
      </c>
      <c r="C190" s="2" t="s">
        <v>1023</v>
      </c>
      <c r="D190" s="2" t="s">
        <v>2200</v>
      </c>
      <c r="F190" s="2" t="s">
        <v>398</v>
      </c>
      <c r="G190" s="2" t="str">
        <f>IF(CustomerTable[[#This Row],[Status]]="RESOLVED","Done",IF(CustomerTable[[#This Row],[Status]]="CLOSED","DONE",IF(CustomerTable[[#This Row],[Status]]="DEFERRED","Done","Pending")))</f>
        <v>Done</v>
      </c>
      <c r="H190" s="2" t="s">
        <v>1025</v>
      </c>
      <c r="I190" s="2" t="s">
        <v>389</v>
      </c>
      <c r="J190" s="2" t="s">
        <v>1219</v>
      </c>
      <c r="K190" s="16">
        <v>45952</v>
      </c>
      <c r="M190" s="16">
        <v>46003</v>
      </c>
    </row>
    <row r="191" spans="1:13" x14ac:dyDescent="0.4">
      <c r="A191" s="2" t="s">
        <v>191</v>
      </c>
      <c r="B191" s="2">
        <f>VALUE(REPLACE(CustomerTable[[#This Row],[Ticket]],1,3,""))</f>
        <v>452</v>
      </c>
      <c r="C191" s="2" t="s">
        <v>1023</v>
      </c>
      <c r="D191" s="2" t="s">
        <v>2201</v>
      </c>
      <c r="F191" s="2" t="s">
        <v>413</v>
      </c>
      <c r="G191" s="2" t="str">
        <f>IF(CustomerTable[[#This Row],[Status]]="RESOLVED","Done",IF(CustomerTable[[#This Row],[Status]]="CLOSED","DONE",IF(CustomerTable[[#This Row],[Status]]="DEFERRED","Done","Pending")))</f>
        <v>DONE</v>
      </c>
      <c r="H191" s="2" t="s">
        <v>1025</v>
      </c>
      <c r="I191" s="2" t="s">
        <v>393</v>
      </c>
      <c r="J191" s="2" t="s">
        <v>1220</v>
      </c>
      <c r="K191" s="16">
        <v>45955</v>
      </c>
      <c r="M191" s="16">
        <v>45979</v>
      </c>
    </row>
    <row r="192" spans="1:13" x14ac:dyDescent="0.4">
      <c r="A192" s="2" t="s">
        <v>192</v>
      </c>
      <c r="B192" s="2">
        <f>VALUE(REPLACE(CustomerTable[[#This Row],[Ticket]],1,3,""))</f>
        <v>453</v>
      </c>
      <c r="C192" s="2" t="s">
        <v>1023</v>
      </c>
      <c r="D192" s="2" t="s">
        <v>2202</v>
      </c>
      <c r="F192" s="2" t="s">
        <v>398</v>
      </c>
      <c r="G192" s="2" t="str">
        <f>IF(CustomerTable[[#This Row],[Status]]="RESOLVED","Done",IF(CustomerTable[[#This Row],[Status]]="CLOSED","DONE",IF(CustomerTable[[#This Row],[Status]]="DEFERRED","Done","Pending")))</f>
        <v>Done</v>
      </c>
      <c r="H192" s="2" t="s">
        <v>1032</v>
      </c>
      <c r="I192" s="2" t="s">
        <v>393</v>
      </c>
      <c r="J192" s="2" t="s">
        <v>1221</v>
      </c>
      <c r="K192" s="16">
        <v>45955</v>
      </c>
      <c r="M192" s="16">
        <v>46006</v>
      </c>
    </row>
    <row r="193" spans="1:13" x14ac:dyDescent="0.4">
      <c r="A193" s="2" t="s">
        <v>193</v>
      </c>
      <c r="B193" s="2">
        <f>VALUE(REPLACE(CustomerTable[[#This Row],[Ticket]],1,3,""))</f>
        <v>454</v>
      </c>
      <c r="C193" s="2" t="s">
        <v>1023</v>
      </c>
      <c r="D193" s="2" t="s">
        <v>2203</v>
      </c>
      <c r="E193" s="2" t="s">
        <v>405</v>
      </c>
      <c r="F193" s="2" t="s">
        <v>398</v>
      </c>
      <c r="G193" s="2" t="str">
        <f>IF(CustomerTable[[#This Row],[Status]]="RESOLVED","Done",IF(CustomerTable[[#This Row],[Status]]="CLOSED","DONE",IF(CustomerTable[[#This Row],[Status]]="DEFERRED","Done","Pending")))</f>
        <v>Done</v>
      </c>
      <c r="H193" s="2" t="s">
        <v>1032</v>
      </c>
      <c r="I193" s="2" t="s">
        <v>389</v>
      </c>
      <c r="J193" s="2" t="s">
        <v>1222</v>
      </c>
      <c r="K193" s="16">
        <v>45957</v>
      </c>
      <c r="M193" s="16">
        <v>45986</v>
      </c>
    </row>
    <row r="194" spans="1:13" x14ac:dyDescent="0.4">
      <c r="A194" s="2" t="s">
        <v>194</v>
      </c>
      <c r="B194" s="2">
        <f>VALUE(REPLACE(CustomerTable[[#This Row],[Ticket]],1,3,""))</f>
        <v>455</v>
      </c>
      <c r="C194" s="2" t="s">
        <v>1023</v>
      </c>
      <c r="D194" s="2" t="s">
        <v>2204</v>
      </c>
      <c r="F194" s="2" t="s">
        <v>398</v>
      </c>
      <c r="G194" s="2" t="str">
        <f>IF(CustomerTable[[#This Row],[Status]]="RESOLVED","Done",IF(CustomerTable[[#This Row],[Status]]="CLOSED","DONE",IF(CustomerTable[[#This Row],[Status]]="DEFERRED","Done","Pending")))</f>
        <v>Done</v>
      </c>
      <c r="H194" s="2" t="s">
        <v>1025</v>
      </c>
      <c r="I194" s="2" t="s">
        <v>391</v>
      </c>
      <c r="J194" s="2" t="s">
        <v>1223</v>
      </c>
      <c r="K194" s="16">
        <v>45957</v>
      </c>
      <c r="M194" s="16">
        <v>45975</v>
      </c>
    </row>
    <row r="195" spans="1:13" x14ac:dyDescent="0.4">
      <c r="A195" s="2" t="s">
        <v>195</v>
      </c>
      <c r="B195" s="2">
        <f>VALUE(REPLACE(CustomerTable[[#This Row],[Ticket]],1,3,""))</f>
        <v>456</v>
      </c>
      <c r="C195" s="2" t="s">
        <v>1023</v>
      </c>
      <c r="D195" s="2" t="s">
        <v>2205</v>
      </c>
      <c r="F195" s="2" t="s">
        <v>398</v>
      </c>
      <c r="G195" s="2" t="str">
        <f>IF(CustomerTable[[#This Row],[Status]]="RESOLVED","Done",IF(CustomerTable[[#This Row],[Status]]="CLOSED","DONE",IF(CustomerTable[[#This Row],[Status]]="DEFERRED","Done","Pending")))</f>
        <v>Done</v>
      </c>
      <c r="H195" s="2" t="s">
        <v>1032</v>
      </c>
      <c r="I195" s="2" t="s">
        <v>389</v>
      </c>
      <c r="J195" s="2" t="s">
        <v>1224</v>
      </c>
      <c r="K195" s="16">
        <v>45957</v>
      </c>
      <c r="M195" s="16">
        <v>45980</v>
      </c>
    </row>
    <row r="196" spans="1:13" x14ac:dyDescent="0.4">
      <c r="A196" s="2" t="s">
        <v>196</v>
      </c>
      <c r="B196" s="2">
        <f>VALUE(REPLACE(CustomerTable[[#This Row],[Ticket]],1,3,""))</f>
        <v>457</v>
      </c>
      <c r="C196" s="2" t="s">
        <v>1023</v>
      </c>
      <c r="D196" s="2" t="s">
        <v>2206</v>
      </c>
      <c r="F196" s="2" t="s">
        <v>398</v>
      </c>
      <c r="G196" s="2" t="str">
        <f>IF(CustomerTable[[#This Row],[Status]]="RESOLVED","Done",IF(CustomerTable[[#This Row],[Status]]="CLOSED","DONE",IF(CustomerTable[[#This Row],[Status]]="DEFERRED","Done","Pending")))</f>
        <v>Done</v>
      </c>
      <c r="I196" s="2" t="s">
        <v>389</v>
      </c>
      <c r="J196" s="2" t="s">
        <v>1225</v>
      </c>
      <c r="K196" s="16">
        <v>45958</v>
      </c>
      <c r="M196" s="16">
        <v>45994</v>
      </c>
    </row>
    <row r="197" spans="1:13" x14ac:dyDescent="0.4">
      <c r="A197" s="2" t="s">
        <v>197</v>
      </c>
      <c r="B197" s="2">
        <f>VALUE(REPLACE(CustomerTable[[#This Row],[Ticket]],1,3,""))</f>
        <v>458</v>
      </c>
      <c r="C197" s="2" t="s">
        <v>1023</v>
      </c>
      <c r="D197" s="2" t="s">
        <v>2207</v>
      </c>
      <c r="F197" s="2" t="s">
        <v>398</v>
      </c>
      <c r="G197" s="2" t="str">
        <f>IF(CustomerTable[[#This Row],[Status]]="RESOLVED","Done",IF(CustomerTable[[#This Row],[Status]]="CLOSED","DONE",IF(CustomerTable[[#This Row],[Status]]="DEFERRED","Done","Pending")))</f>
        <v>Done</v>
      </c>
      <c r="H197" s="2" t="s">
        <v>1025</v>
      </c>
      <c r="I197" s="2" t="s">
        <v>389</v>
      </c>
      <c r="J197" s="2" t="s">
        <v>1226</v>
      </c>
      <c r="K197" s="16">
        <v>45957</v>
      </c>
      <c r="M197" s="16">
        <v>45981</v>
      </c>
    </row>
    <row r="198" spans="1:13" x14ac:dyDescent="0.4">
      <c r="A198" s="2" t="s">
        <v>198</v>
      </c>
      <c r="B198" s="2">
        <f>VALUE(REPLACE(CustomerTable[[#This Row],[Ticket]],1,3,""))</f>
        <v>459</v>
      </c>
      <c r="C198" s="2" t="s">
        <v>1023</v>
      </c>
      <c r="D198" s="2" t="s">
        <v>2208</v>
      </c>
      <c r="F198" s="2" t="s">
        <v>398</v>
      </c>
      <c r="G198" s="2" t="str">
        <f>IF(CustomerTable[[#This Row],[Status]]="RESOLVED","Done",IF(CustomerTable[[#This Row],[Status]]="CLOSED","DONE",IF(CustomerTable[[#This Row],[Status]]="DEFERRED","Done","Pending")))</f>
        <v>Done</v>
      </c>
      <c r="H198" s="2" t="s">
        <v>1025</v>
      </c>
      <c r="I198" s="2" t="s">
        <v>389</v>
      </c>
      <c r="J198" s="2" t="s">
        <v>1227</v>
      </c>
      <c r="K198" s="16">
        <v>45957</v>
      </c>
      <c r="M198" s="16">
        <v>45982</v>
      </c>
    </row>
    <row r="199" spans="1:13" x14ac:dyDescent="0.4">
      <c r="A199" s="2" t="s">
        <v>199</v>
      </c>
      <c r="B199" s="2">
        <f>VALUE(REPLACE(CustomerTable[[#This Row],[Ticket]],1,3,""))</f>
        <v>460</v>
      </c>
      <c r="C199" s="2" t="s">
        <v>1023</v>
      </c>
      <c r="D199" s="2" t="s">
        <v>2209</v>
      </c>
      <c r="E199" s="2" t="s">
        <v>405</v>
      </c>
      <c r="F199" s="2" t="s">
        <v>398</v>
      </c>
      <c r="G199" s="2" t="str">
        <f>IF(CustomerTable[[#This Row],[Status]]="RESOLVED","Done",IF(CustomerTable[[#This Row],[Status]]="CLOSED","DONE",IF(CustomerTable[[#This Row],[Status]]="DEFERRED","Done","Pending")))</f>
        <v>Done</v>
      </c>
      <c r="H199" s="2" t="s">
        <v>11</v>
      </c>
      <c r="I199" s="2" t="s">
        <v>394</v>
      </c>
      <c r="J199" s="2" t="s">
        <v>1228</v>
      </c>
      <c r="K199" s="16">
        <v>45950</v>
      </c>
      <c r="M199" s="16">
        <v>45986</v>
      </c>
    </row>
    <row r="200" spans="1:13" x14ac:dyDescent="0.4">
      <c r="A200" s="2" t="s">
        <v>200</v>
      </c>
      <c r="B200" s="2">
        <f>VALUE(REPLACE(CustomerTable[[#This Row],[Ticket]],1,3,""))</f>
        <v>461</v>
      </c>
      <c r="C200" s="2" t="s">
        <v>1023</v>
      </c>
      <c r="D200" s="2" t="s">
        <v>2210</v>
      </c>
      <c r="F200" s="2" t="s">
        <v>398</v>
      </c>
      <c r="G200" s="2" t="str">
        <f>IF(CustomerTable[[#This Row],[Status]]="RESOLVED","Done",IF(CustomerTable[[#This Row],[Status]]="CLOSED","DONE",IF(CustomerTable[[#This Row],[Status]]="DEFERRED","Done","Pending")))</f>
        <v>Done</v>
      </c>
      <c r="H200" s="2" t="s">
        <v>1025</v>
      </c>
      <c r="I200" s="2" t="s">
        <v>392</v>
      </c>
      <c r="J200" s="2" t="s">
        <v>1229</v>
      </c>
      <c r="K200" s="16">
        <v>45950</v>
      </c>
      <c r="M200" s="16">
        <v>45986</v>
      </c>
    </row>
    <row r="201" spans="1:13" x14ac:dyDescent="0.4">
      <c r="A201" s="2" t="s">
        <v>201</v>
      </c>
      <c r="B201" s="2">
        <f>VALUE(REPLACE(CustomerTable[[#This Row],[Ticket]],1,3,""))</f>
        <v>462</v>
      </c>
      <c r="C201" s="2" t="s">
        <v>1023</v>
      </c>
      <c r="D201" s="2" t="s">
        <v>2211</v>
      </c>
      <c r="E201" s="2" t="s">
        <v>405</v>
      </c>
      <c r="F201" s="2" t="s">
        <v>398</v>
      </c>
      <c r="G201" s="2" t="str">
        <f>IF(CustomerTable[[#This Row],[Status]]="RESOLVED","Done",IF(CustomerTable[[#This Row],[Status]]="CLOSED","DONE",IF(CustomerTable[[#This Row],[Status]]="DEFERRED","Done","Pending")))</f>
        <v>Done</v>
      </c>
      <c r="H201" s="2" t="s">
        <v>1025</v>
      </c>
      <c r="I201" s="2" t="s">
        <v>389</v>
      </c>
      <c r="J201" s="2" t="s">
        <v>1230</v>
      </c>
      <c r="K201" s="16">
        <v>45959</v>
      </c>
      <c r="M201" s="16">
        <v>45982</v>
      </c>
    </row>
    <row r="202" spans="1:13" x14ac:dyDescent="0.4">
      <c r="A202" s="2" t="s">
        <v>202</v>
      </c>
      <c r="B202" s="2">
        <f>VALUE(REPLACE(CustomerTable[[#This Row],[Ticket]],1,3,""))</f>
        <v>463</v>
      </c>
      <c r="C202" s="2" t="s">
        <v>1023</v>
      </c>
      <c r="D202" s="2" t="s">
        <v>2212</v>
      </c>
      <c r="E202" s="2" t="s">
        <v>405</v>
      </c>
      <c r="F202" s="2" t="s">
        <v>398</v>
      </c>
      <c r="G202" s="2" t="str">
        <f>IF(CustomerTable[[#This Row],[Status]]="RESOLVED","Done",IF(CustomerTable[[#This Row],[Status]]="CLOSED","DONE",IF(CustomerTable[[#This Row],[Status]]="DEFERRED","Done","Pending")))</f>
        <v>Done</v>
      </c>
      <c r="H202" s="2" t="s">
        <v>1025</v>
      </c>
      <c r="I202" s="2" t="s">
        <v>390</v>
      </c>
      <c r="J202" s="2" t="s">
        <v>1231</v>
      </c>
      <c r="K202" s="16">
        <v>45959</v>
      </c>
      <c r="M202" s="16">
        <v>45982</v>
      </c>
    </row>
    <row r="203" spans="1:13" x14ac:dyDescent="0.4">
      <c r="A203" s="2" t="s">
        <v>203</v>
      </c>
      <c r="B203" s="2">
        <f>VALUE(REPLACE(CustomerTable[[#This Row],[Ticket]],1,3,""))</f>
        <v>464</v>
      </c>
      <c r="C203" s="2" t="s">
        <v>1023</v>
      </c>
      <c r="D203" s="2" t="s">
        <v>2213</v>
      </c>
      <c r="F203" s="2" t="s">
        <v>398</v>
      </c>
      <c r="G203" s="2" t="str">
        <f>IF(CustomerTable[[#This Row],[Status]]="RESOLVED","Done",IF(CustomerTable[[#This Row],[Status]]="CLOSED","DONE",IF(CustomerTable[[#This Row],[Status]]="DEFERRED","Done","Pending")))</f>
        <v>Done</v>
      </c>
      <c r="H203" s="2" t="s">
        <v>1025</v>
      </c>
      <c r="I203" s="2" t="s">
        <v>389</v>
      </c>
      <c r="J203" s="2" t="s">
        <v>1232</v>
      </c>
      <c r="K203" s="16">
        <v>45959</v>
      </c>
      <c r="M203" s="16">
        <v>45982</v>
      </c>
    </row>
    <row r="204" spans="1:13" x14ac:dyDescent="0.4">
      <c r="A204" s="2" t="s">
        <v>204</v>
      </c>
      <c r="B204" s="2">
        <f>VALUE(REPLACE(CustomerTable[[#This Row],[Ticket]],1,3,""))</f>
        <v>465</v>
      </c>
      <c r="C204" s="2" t="s">
        <v>1023</v>
      </c>
      <c r="D204" s="2" t="s">
        <v>2214</v>
      </c>
      <c r="F204" s="2" t="s">
        <v>398</v>
      </c>
      <c r="G204" s="2" t="str">
        <f>IF(CustomerTable[[#This Row],[Status]]="RESOLVED","Done",IF(CustomerTable[[#This Row],[Status]]="CLOSED","DONE",IF(CustomerTable[[#This Row],[Status]]="DEFERRED","Done","Pending")))</f>
        <v>Done</v>
      </c>
      <c r="I204" s="2" t="s">
        <v>390</v>
      </c>
      <c r="J204" s="2" t="s">
        <v>1233</v>
      </c>
      <c r="K204" s="16">
        <v>45960</v>
      </c>
      <c r="M204" s="16">
        <v>46007</v>
      </c>
    </row>
    <row r="205" spans="1:13" x14ac:dyDescent="0.4">
      <c r="A205" s="2" t="s">
        <v>205</v>
      </c>
      <c r="B205" s="2">
        <f>VALUE(REPLACE(CustomerTable[[#This Row],[Ticket]],1,3,""))</f>
        <v>466</v>
      </c>
      <c r="C205" s="2" t="s">
        <v>1023</v>
      </c>
      <c r="D205" s="2" t="s">
        <v>2215</v>
      </c>
      <c r="F205" s="2" t="s">
        <v>398</v>
      </c>
      <c r="G205" s="2" t="str">
        <f>IF(CustomerTable[[#This Row],[Status]]="RESOLVED","Done",IF(CustomerTable[[#This Row],[Status]]="CLOSED","DONE",IF(CustomerTable[[#This Row],[Status]]="DEFERRED","Done","Pending")))</f>
        <v>Done</v>
      </c>
      <c r="H205" s="2" t="s">
        <v>1032</v>
      </c>
      <c r="I205" s="2" t="s">
        <v>389</v>
      </c>
      <c r="J205" s="2" t="s">
        <v>1234</v>
      </c>
      <c r="K205" s="16">
        <v>45960</v>
      </c>
      <c r="M205" s="16">
        <v>45986</v>
      </c>
    </row>
    <row r="206" spans="1:13" x14ac:dyDescent="0.4">
      <c r="A206" s="2" t="s">
        <v>206</v>
      </c>
      <c r="B206" s="2">
        <f>VALUE(REPLACE(CustomerTable[[#This Row],[Ticket]],1,3,""))</f>
        <v>467</v>
      </c>
      <c r="C206" s="2" t="s">
        <v>1023</v>
      </c>
      <c r="D206" s="2" t="s">
        <v>2216</v>
      </c>
      <c r="F206" s="2" t="s">
        <v>398</v>
      </c>
      <c r="G206" s="2" t="str">
        <f>IF(CustomerTable[[#This Row],[Status]]="RESOLVED","Done",IF(CustomerTable[[#This Row],[Status]]="CLOSED","DONE",IF(CustomerTable[[#This Row],[Status]]="DEFERRED","Done","Pending")))</f>
        <v>Done</v>
      </c>
      <c r="H206" s="2" t="s">
        <v>1025</v>
      </c>
      <c r="I206" s="2" t="s">
        <v>392</v>
      </c>
      <c r="J206" s="2" t="s">
        <v>1235</v>
      </c>
      <c r="K206" s="16">
        <v>45960</v>
      </c>
      <c r="M206" s="16">
        <v>45988</v>
      </c>
    </row>
    <row r="207" spans="1:13" x14ac:dyDescent="0.4">
      <c r="A207" s="2" t="s">
        <v>207</v>
      </c>
      <c r="B207" s="2">
        <f>VALUE(REPLACE(CustomerTable[[#This Row],[Ticket]],1,3,""))</f>
        <v>468</v>
      </c>
      <c r="C207" s="2" t="s">
        <v>1023</v>
      </c>
      <c r="D207" s="2" t="s">
        <v>2217</v>
      </c>
      <c r="F207" s="2" t="s">
        <v>398</v>
      </c>
      <c r="G207" s="2" t="str">
        <f>IF(CustomerTable[[#This Row],[Status]]="RESOLVED","Done",IF(CustomerTable[[#This Row],[Status]]="CLOSED","DONE",IF(CustomerTable[[#This Row],[Status]]="DEFERRED","Done","Pending")))</f>
        <v>Done</v>
      </c>
      <c r="H207" s="2" t="s">
        <v>1025</v>
      </c>
      <c r="I207" s="2" t="s">
        <v>389</v>
      </c>
      <c r="J207" s="2" t="s">
        <v>1236</v>
      </c>
      <c r="K207" s="16">
        <v>45960</v>
      </c>
      <c r="M207" s="16">
        <v>45994</v>
      </c>
    </row>
    <row r="208" spans="1:13" x14ac:dyDescent="0.4">
      <c r="A208" s="2" t="s">
        <v>208</v>
      </c>
      <c r="B208" s="2">
        <f>VALUE(REPLACE(CustomerTable[[#This Row],[Ticket]],1,3,""))</f>
        <v>469</v>
      </c>
      <c r="C208" s="2" t="s">
        <v>1023</v>
      </c>
      <c r="D208" s="2" t="s">
        <v>2218</v>
      </c>
      <c r="E208" s="2" t="s">
        <v>405</v>
      </c>
      <c r="F208" s="2" t="s">
        <v>398</v>
      </c>
      <c r="G208" s="2" t="str">
        <f>IF(CustomerTable[[#This Row],[Status]]="RESOLVED","Done",IF(CustomerTable[[#This Row],[Status]]="CLOSED","DONE",IF(CustomerTable[[#This Row],[Status]]="DEFERRED","Done","Pending")))</f>
        <v>Done</v>
      </c>
      <c r="H208" s="2" t="s">
        <v>1032</v>
      </c>
      <c r="I208" s="2" t="s">
        <v>395</v>
      </c>
      <c r="J208" s="2" t="s">
        <v>1237</v>
      </c>
      <c r="K208" s="16">
        <v>45961</v>
      </c>
      <c r="M208" s="16">
        <v>45994</v>
      </c>
    </row>
    <row r="209" spans="1:13" x14ac:dyDescent="0.4">
      <c r="A209" s="2" t="s">
        <v>209</v>
      </c>
      <c r="B209" s="2">
        <f>VALUE(REPLACE(CustomerTable[[#This Row],[Ticket]],1,3,""))</f>
        <v>470</v>
      </c>
      <c r="C209" s="2" t="s">
        <v>1023</v>
      </c>
      <c r="D209" s="2" t="s">
        <v>2219</v>
      </c>
      <c r="F209" s="2" t="s">
        <v>398</v>
      </c>
      <c r="G209" s="2" t="str">
        <f>IF(CustomerTable[[#This Row],[Status]]="RESOLVED","Done",IF(CustomerTable[[#This Row],[Status]]="CLOSED","DONE",IF(CustomerTable[[#This Row],[Status]]="DEFERRED","Done","Pending")))</f>
        <v>Done</v>
      </c>
      <c r="H209" s="2" t="s">
        <v>1025</v>
      </c>
      <c r="I209" s="2" t="s">
        <v>391</v>
      </c>
      <c r="J209" s="2" t="s">
        <v>1238</v>
      </c>
      <c r="K209" s="16">
        <v>45964</v>
      </c>
      <c r="M209" s="16">
        <v>46010</v>
      </c>
    </row>
    <row r="210" spans="1:13" x14ac:dyDescent="0.4">
      <c r="A210" s="2" t="s">
        <v>210</v>
      </c>
      <c r="B210" s="2">
        <f>VALUE(REPLACE(CustomerTable[[#This Row],[Ticket]],1,3,""))</f>
        <v>471</v>
      </c>
      <c r="C210" s="2" t="s">
        <v>1023</v>
      </c>
      <c r="D210" s="2" t="s">
        <v>2220</v>
      </c>
      <c r="F210" s="2" t="s">
        <v>398</v>
      </c>
      <c r="G210" s="2" t="str">
        <f>IF(CustomerTable[[#This Row],[Status]]="RESOLVED","Done",IF(CustomerTable[[#This Row],[Status]]="CLOSED","DONE",IF(CustomerTable[[#This Row],[Status]]="DEFERRED","Done","Pending")))</f>
        <v>Done</v>
      </c>
      <c r="H210" s="2" t="s">
        <v>1032</v>
      </c>
      <c r="I210" s="2" t="s">
        <v>392</v>
      </c>
      <c r="J210" s="2" t="s">
        <v>1239</v>
      </c>
      <c r="K210" s="16">
        <v>45964</v>
      </c>
      <c r="M210" s="16">
        <v>46003</v>
      </c>
    </row>
    <row r="211" spans="1:13" x14ac:dyDescent="0.4">
      <c r="A211" s="2" t="s">
        <v>211</v>
      </c>
      <c r="B211" s="2">
        <f>VALUE(REPLACE(CustomerTable[[#This Row],[Ticket]],1,3,""))</f>
        <v>472</v>
      </c>
      <c r="C211" s="2" t="s">
        <v>1024</v>
      </c>
      <c r="D211" s="2" t="s">
        <v>2221</v>
      </c>
      <c r="E211" s="2" t="s">
        <v>405</v>
      </c>
      <c r="F211" s="2" t="s">
        <v>398</v>
      </c>
      <c r="G211" s="2" t="str">
        <f>IF(CustomerTable[[#This Row],[Status]]="RESOLVED","Done",IF(CustomerTable[[#This Row],[Status]]="CLOSED","DONE",IF(CustomerTable[[#This Row],[Status]]="DEFERRED","Done","Pending")))</f>
        <v>Done</v>
      </c>
      <c r="H211" s="2" t="s">
        <v>1029</v>
      </c>
      <c r="I211" s="2" t="s">
        <v>393</v>
      </c>
      <c r="J211" s="2" t="s">
        <v>1240</v>
      </c>
      <c r="K211" s="16">
        <v>45964</v>
      </c>
      <c r="M211" s="16">
        <v>46105</v>
      </c>
    </row>
    <row r="212" spans="1:13" x14ac:dyDescent="0.4">
      <c r="A212" s="2" t="s">
        <v>212</v>
      </c>
      <c r="B212" s="2">
        <f>VALUE(REPLACE(CustomerTable[[#This Row],[Ticket]],1,3,""))</f>
        <v>473</v>
      </c>
      <c r="C212" s="2" t="s">
        <v>1023</v>
      </c>
      <c r="D212" s="2" t="s">
        <v>2222</v>
      </c>
      <c r="E212" s="2" t="s">
        <v>405</v>
      </c>
      <c r="F212" s="2" t="s">
        <v>398</v>
      </c>
      <c r="G212" s="2" t="str">
        <f>IF(CustomerTable[[#This Row],[Status]]="RESOLVED","Done",IF(CustomerTable[[#This Row],[Status]]="CLOSED","DONE",IF(CustomerTable[[#This Row],[Status]]="DEFERRED","Done","Pending")))</f>
        <v>Done</v>
      </c>
      <c r="H212" s="2" t="s">
        <v>1025</v>
      </c>
      <c r="I212" s="2" t="s">
        <v>390</v>
      </c>
      <c r="J212" s="2" t="s">
        <v>1241</v>
      </c>
      <c r="K212" s="16">
        <v>45964</v>
      </c>
      <c r="M212" s="16">
        <v>45990</v>
      </c>
    </row>
    <row r="213" spans="1:13" x14ac:dyDescent="0.4">
      <c r="A213" s="2" t="s">
        <v>213</v>
      </c>
      <c r="B213" s="2">
        <f>VALUE(REPLACE(CustomerTable[[#This Row],[Ticket]],1,3,""))</f>
        <v>474</v>
      </c>
      <c r="C213" s="2" t="s">
        <v>1023</v>
      </c>
      <c r="D213" s="2" t="s">
        <v>2223</v>
      </c>
      <c r="E213" s="2" t="s">
        <v>405</v>
      </c>
      <c r="F213" s="2" t="s">
        <v>398</v>
      </c>
      <c r="G213" s="2" t="str">
        <f>IF(CustomerTable[[#This Row],[Status]]="RESOLVED","Done",IF(CustomerTable[[#This Row],[Status]]="CLOSED","DONE",IF(CustomerTable[[#This Row],[Status]]="DEFERRED","Done","Pending")))</f>
        <v>Done</v>
      </c>
      <c r="H213" s="2" t="s">
        <v>1025</v>
      </c>
      <c r="I213" s="2" t="s">
        <v>389</v>
      </c>
      <c r="J213" s="2" t="s">
        <v>1242</v>
      </c>
      <c r="K213" s="16">
        <v>45966</v>
      </c>
      <c r="M213" s="16">
        <v>46023</v>
      </c>
    </row>
    <row r="214" spans="1:13" x14ac:dyDescent="0.4">
      <c r="A214" s="2" t="s">
        <v>214</v>
      </c>
      <c r="B214" s="2">
        <f>VALUE(REPLACE(CustomerTable[[#This Row],[Ticket]],1,3,""))</f>
        <v>475</v>
      </c>
      <c r="C214" s="2" t="s">
        <v>1023</v>
      </c>
      <c r="D214" s="2" t="s">
        <v>2224</v>
      </c>
      <c r="F214" s="2" t="s">
        <v>398</v>
      </c>
      <c r="G214" s="2" t="str">
        <f>IF(CustomerTable[[#This Row],[Status]]="RESOLVED","Done",IF(CustomerTable[[#This Row],[Status]]="CLOSED","DONE",IF(CustomerTable[[#This Row],[Status]]="DEFERRED","Done","Pending")))</f>
        <v>Done</v>
      </c>
      <c r="H214" s="2" t="s">
        <v>1025</v>
      </c>
      <c r="I214" s="2" t="s">
        <v>391</v>
      </c>
      <c r="J214" s="2" t="s">
        <v>1243</v>
      </c>
      <c r="K214" s="16">
        <v>45966</v>
      </c>
      <c r="M214" s="16">
        <v>45994</v>
      </c>
    </row>
    <row r="215" spans="1:13" x14ac:dyDescent="0.4">
      <c r="A215" s="2" t="s">
        <v>215</v>
      </c>
      <c r="B215" s="2">
        <f>VALUE(REPLACE(CustomerTable[[#This Row],[Ticket]],1,3,""))</f>
        <v>476</v>
      </c>
      <c r="C215" s="2" t="s">
        <v>1023</v>
      </c>
      <c r="D215" s="2" t="s">
        <v>2225</v>
      </c>
      <c r="F215" s="2" t="s">
        <v>398</v>
      </c>
      <c r="G215" s="2" t="str">
        <f>IF(CustomerTable[[#This Row],[Status]]="RESOLVED","Done",IF(CustomerTable[[#This Row],[Status]]="CLOSED","DONE",IF(CustomerTable[[#This Row],[Status]]="DEFERRED","Done","Pending")))</f>
        <v>Done</v>
      </c>
      <c r="I215" s="2" t="s">
        <v>390</v>
      </c>
      <c r="J215" s="2" t="s">
        <v>1244</v>
      </c>
      <c r="K215" s="16">
        <v>45966</v>
      </c>
      <c r="M215" s="16">
        <v>46003</v>
      </c>
    </row>
    <row r="216" spans="1:13" x14ac:dyDescent="0.4">
      <c r="A216" s="2" t="s">
        <v>216</v>
      </c>
      <c r="B216" s="2">
        <f>VALUE(REPLACE(CustomerTable[[#This Row],[Ticket]],1,3,""))</f>
        <v>477</v>
      </c>
      <c r="C216" s="2" t="s">
        <v>1023</v>
      </c>
      <c r="D216" s="2" t="s">
        <v>2226</v>
      </c>
      <c r="F216" s="2" t="s">
        <v>398</v>
      </c>
      <c r="G216" s="2" t="str">
        <f>IF(CustomerTable[[#This Row],[Status]]="RESOLVED","Done",IF(CustomerTable[[#This Row],[Status]]="CLOSED","DONE",IF(CustomerTable[[#This Row],[Status]]="DEFERRED","Done","Pending")))</f>
        <v>Done</v>
      </c>
      <c r="H216" s="2" t="s">
        <v>1025</v>
      </c>
      <c r="I216" s="2" t="s">
        <v>389</v>
      </c>
      <c r="J216" s="2" t="s">
        <v>1245</v>
      </c>
      <c r="K216" s="16">
        <v>45966</v>
      </c>
      <c r="M216" s="16">
        <v>46003</v>
      </c>
    </row>
    <row r="217" spans="1:13" x14ac:dyDescent="0.4">
      <c r="A217" s="2" t="s">
        <v>217</v>
      </c>
      <c r="B217" s="2">
        <f>VALUE(REPLACE(CustomerTable[[#This Row],[Ticket]],1,3,""))</f>
        <v>478</v>
      </c>
      <c r="C217" s="2" t="s">
        <v>1023</v>
      </c>
      <c r="D217" s="2" t="s">
        <v>2227</v>
      </c>
      <c r="F217" s="2" t="s">
        <v>398</v>
      </c>
      <c r="G217" s="2" t="str">
        <f>IF(CustomerTable[[#This Row],[Status]]="RESOLVED","Done",IF(CustomerTable[[#This Row],[Status]]="CLOSED","DONE",IF(CustomerTable[[#This Row],[Status]]="DEFERRED","Done","Pending")))</f>
        <v>Done</v>
      </c>
      <c r="H217" s="2" t="s">
        <v>1025</v>
      </c>
      <c r="I217" s="2" t="s">
        <v>392</v>
      </c>
      <c r="J217" s="2" t="s">
        <v>1246</v>
      </c>
      <c r="K217" s="16">
        <v>45966</v>
      </c>
      <c r="M217" s="16">
        <v>46000</v>
      </c>
    </row>
    <row r="218" spans="1:13" x14ac:dyDescent="0.4">
      <c r="A218" s="2" t="s">
        <v>218</v>
      </c>
      <c r="B218" s="2">
        <f>VALUE(REPLACE(CustomerTable[[#This Row],[Ticket]],1,3,""))</f>
        <v>479</v>
      </c>
      <c r="C218" s="2" t="s">
        <v>1023</v>
      </c>
      <c r="D218" s="2" t="s">
        <v>2228</v>
      </c>
      <c r="E218" s="2" t="s">
        <v>405</v>
      </c>
      <c r="F218" s="2" t="s">
        <v>398</v>
      </c>
      <c r="G218" s="2" t="str">
        <f>IF(CustomerTable[[#This Row],[Status]]="RESOLVED","Done",IF(CustomerTable[[#This Row],[Status]]="CLOSED","DONE",IF(CustomerTable[[#This Row],[Status]]="DEFERRED","Done","Pending")))</f>
        <v>Done</v>
      </c>
      <c r="H218" s="2" t="s">
        <v>1025</v>
      </c>
      <c r="I218" s="2" t="s">
        <v>389</v>
      </c>
      <c r="J218" s="2" t="s">
        <v>1247</v>
      </c>
      <c r="K218" s="16">
        <v>45966</v>
      </c>
      <c r="M218" s="16">
        <v>46003</v>
      </c>
    </row>
    <row r="219" spans="1:13" x14ac:dyDescent="0.4">
      <c r="A219" s="2" t="s">
        <v>219</v>
      </c>
      <c r="B219" s="2">
        <f>VALUE(REPLACE(CustomerTable[[#This Row],[Ticket]],1,3,""))</f>
        <v>480</v>
      </c>
      <c r="C219" s="2" t="s">
        <v>1023</v>
      </c>
      <c r="D219" s="2" t="s">
        <v>2229</v>
      </c>
      <c r="F219" s="2" t="s">
        <v>398</v>
      </c>
      <c r="G219" s="2" t="str">
        <f>IF(CustomerTable[[#This Row],[Status]]="RESOLVED","Done",IF(CustomerTable[[#This Row],[Status]]="CLOSED","DONE",IF(CustomerTable[[#This Row],[Status]]="DEFERRED","Done","Pending")))</f>
        <v>Done</v>
      </c>
      <c r="H219" s="2" t="s">
        <v>1025</v>
      </c>
      <c r="I219" s="2" t="s">
        <v>389</v>
      </c>
      <c r="J219" s="2" t="s">
        <v>1248</v>
      </c>
      <c r="K219" s="16">
        <v>45966</v>
      </c>
      <c r="M219" s="16">
        <v>45995</v>
      </c>
    </row>
    <row r="220" spans="1:13" x14ac:dyDescent="0.4">
      <c r="A220" s="2" t="s">
        <v>220</v>
      </c>
      <c r="B220" s="2">
        <f>VALUE(REPLACE(CustomerTable[[#This Row],[Ticket]],1,3,""))</f>
        <v>481</v>
      </c>
      <c r="C220" s="2" t="s">
        <v>1023</v>
      </c>
      <c r="D220" s="2" t="s">
        <v>2230</v>
      </c>
      <c r="F220" s="2" t="s">
        <v>398</v>
      </c>
      <c r="G220" s="2" t="str">
        <f>IF(CustomerTable[[#This Row],[Status]]="RESOLVED","Done",IF(CustomerTable[[#This Row],[Status]]="CLOSED","DONE",IF(CustomerTable[[#This Row],[Status]]="DEFERRED","Done","Pending")))</f>
        <v>Done</v>
      </c>
      <c r="H220" s="2" t="s">
        <v>1025</v>
      </c>
      <c r="I220" s="2" t="s">
        <v>389</v>
      </c>
      <c r="J220" s="2" t="s">
        <v>1249</v>
      </c>
      <c r="K220" s="16">
        <v>45940</v>
      </c>
      <c r="M220" s="16">
        <v>46003</v>
      </c>
    </row>
    <row r="221" spans="1:13" x14ac:dyDescent="0.4">
      <c r="A221" s="2" t="s">
        <v>221</v>
      </c>
      <c r="B221" s="2">
        <f>VALUE(REPLACE(CustomerTable[[#This Row],[Ticket]],1,3,""))</f>
        <v>482</v>
      </c>
      <c r="C221" s="2" t="s">
        <v>1023</v>
      </c>
      <c r="D221" s="2" t="s">
        <v>2231</v>
      </c>
      <c r="E221" s="2" t="s">
        <v>405</v>
      </c>
      <c r="F221" s="2" t="s">
        <v>398</v>
      </c>
      <c r="G221" s="2" t="str">
        <f>IF(CustomerTable[[#This Row],[Status]]="RESOLVED","Done",IF(CustomerTable[[#This Row],[Status]]="CLOSED","DONE",IF(CustomerTable[[#This Row],[Status]]="DEFERRED","Done","Pending")))</f>
        <v>Done</v>
      </c>
      <c r="H221" s="2" t="s">
        <v>11</v>
      </c>
      <c r="I221" s="2" t="s">
        <v>389</v>
      </c>
      <c r="J221" s="2" t="s">
        <v>1250</v>
      </c>
      <c r="K221" s="16">
        <v>45940</v>
      </c>
      <c r="M221" s="16">
        <v>46001</v>
      </c>
    </row>
    <row r="222" spans="1:13" x14ac:dyDescent="0.4">
      <c r="A222" s="2" t="s">
        <v>222</v>
      </c>
      <c r="B222" s="2">
        <f>VALUE(REPLACE(CustomerTable[[#This Row],[Ticket]],1,3,""))</f>
        <v>483</v>
      </c>
      <c r="C222" s="2" t="s">
        <v>1023</v>
      </c>
      <c r="D222" s="2" t="s">
        <v>2232</v>
      </c>
      <c r="F222" s="2" t="s">
        <v>398</v>
      </c>
      <c r="G222" s="2" t="str">
        <f>IF(CustomerTable[[#This Row],[Status]]="RESOLVED","Done",IF(CustomerTable[[#This Row],[Status]]="CLOSED","DONE",IF(CustomerTable[[#This Row],[Status]]="DEFERRED","Done","Pending")))</f>
        <v>Done</v>
      </c>
      <c r="H222" s="2" t="s">
        <v>1025</v>
      </c>
      <c r="I222" s="2" t="s">
        <v>391</v>
      </c>
      <c r="J222" s="2" t="s">
        <v>1251</v>
      </c>
      <c r="K222" s="16">
        <v>45940</v>
      </c>
      <c r="M222" s="16">
        <v>46000</v>
      </c>
    </row>
    <row r="223" spans="1:13" x14ac:dyDescent="0.4">
      <c r="A223" s="2" t="s">
        <v>223</v>
      </c>
      <c r="B223" s="2">
        <f>VALUE(REPLACE(CustomerTable[[#This Row],[Ticket]],1,3,""))</f>
        <v>484</v>
      </c>
      <c r="C223" s="2" t="s">
        <v>1023</v>
      </c>
      <c r="D223" s="2" t="s">
        <v>2233</v>
      </c>
      <c r="E223" s="2" t="s">
        <v>405</v>
      </c>
      <c r="F223" s="2" t="s">
        <v>398</v>
      </c>
      <c r="G223" s="2" t="str">
        <f>IF(CustomerTable[[#This Row],[Status]]="RESOLVED","Done",IF(CustomerTable[[#This Row],[Status]]="CLOSED","DONE",IF(CustomerTable[[#This Row],[Status]]="DEFERRED","Done","Pending")))</f>
        <v>Done</v>
      </c>
      <c r="H223" s="2" t="s">
        <v>1025</v>
      </c>
      <c r="I223" s="2" t="s">
        <v>389</v>
      </c>
      <c r="J223" s="2" t="s">
        <v>1252</v>
      </c>
      <c r="K223" s="16">
        <v>45940</v>
      </c>
      <c r="M223" s="16">
        <v>45994</v>
      </c>
    </row>
    <row r="224" spans="1:13" x14ac:dyDescent="0.4">
      <c r="A224" s="2" t="s">
        <v>224</v>
      </c>
      <c r="B224" s="2">
        <f>VALUE(REPLACE(CustomerTable[[#This Row],[Ticket]],1,3,""))</f>
        <v>485</v>
      </c>
      <c r="C224" s="2" t="s">
        <v>1023</v>
      </c>
      <c r="D224" s="2" t="s">
        <v>2234</v>
      </c>
      <c r="E224" s="2" t="s">
        <v>405</v>
      </c>
      <c r="F224" s="2" t="s">
        <v>398</v>
      </c>
      <c r="G224" s="2" t="str">
        <f>IF(CustomerTable[[#This Row],[Status]]="RESOLVED","Done",IF(CustomerTable[[#This Row],[Status]]="CLOSED","DONE",IF(CustomerTable[[#This Row],[Status]]="DEFERRED","Done","Pending")))</f>
        <v>Done</v>
      </c>
      <c r="H224" s="2" t="s">
        <v>1032</v>
      </c>
      <c r="I224" s="2" t="s">
        <v>389</v>
      </c>
      <c r="J224" s="2" t="s">
        <v>1253</v>
      </c>
      <c r="K224" s="16">
        <v>45972</v>
      </c>
      <c r="M224" s="16">
        <v>46014</v>
      </c>
    </row>
    <row r="225" spans="1:13" x14ac:dyDescent="0.4">
      <c r="A225" s="2" t="s">
        <v>225</v>
      </c>
      <c r="B225" s="2">
        <f>VALUE(REPLACE(CustomerTable[[#This Row],[Ticket]],1,3,""))</f>
        <v>486</v>
      </c>
      <c r="C225" s="2" t="s">
        <v>1023</v>
      </c>
      <c r="D225" s="2" t="s">
        <v>2235</v>
      </c>
      <c r="F225" s="2" t="s">
        <v>398</v>
      </c>
      <c r="G225" s="2" t="str">
        <f>IF(CustomerTable[[#This Row],[Status]]="RESOLVED","Done",IF(CustomerTable[[#This Row],[Status]]="CLOSED","DONE",IF(CustomerTable[[#This Row],[Status]]="DEFERRED","Done","Pending")))</f>
        <v>Done</v>
      </c>
      <c r="H225" s="2" t="s">
        <v>1025</v>
      </c>
      <c r="I225" s="2" t="s">
        <v>389</v>
      </c>
      <c r="J225" s="2" t="s">
        <v>1254</v>
      </c>
      <c r="K225" s="16">
        <v>45972</v>
      </c>
      <c r="M225" s="16">
        <v>46000</v>
      </c>
    </row>
    <row r="226" spans="1:13" x14ac:dyDescent="0.4">
      <c r="A226" s="2" t="s">
        <v>226</v>
      </c>
      <c r="B226" s="2">
        <f>VALUE(REPLACE(CustomerTable[[#This Row],[Ticket]],1,3,""))</f>
        <v>487</v>
      </c>
      <c r="C226" s="2" t="s">
        <v>1023</v>
      </c>
      <c r="D226" s="2" t="s">
        <v>2236</v>
      </c>
      <c r="F226" s="2" t="s">
        <v>398</v>
      </c>
      <c r="G226" s="2" t="str">
        <f>IF(CustomerTable[[#This Row],[Status]]="RESOLVED","Done",IF(CustomerTable[[#This Row],[Status]]="CLOSED","DONE",IF(CustomerTable[[#This Row],[Status]]="DEFERRED","Done","Pending")))</f>
        <v>Done</v>
      </c>
      <c r="H226" s="2" t="s">
        <v>1032</v>
      </c>
      <c r="I226" s="2" t="s">
        <v>392</v>
      </c>
      <c r="J226" s="2" t="s">
        <v>1255</v>
      </c>
      <c r="K226" s="16">
        <v>45941</v>
      </c>
      <c r="M226" s="16">
        <v>46021</v>
      </c>
    </row>
    <row r="227" spans="1:13" x14ac:dyDescent="0.4">
      <c r="A227" s="2" t="s">
        <v>227</v>
      </c>
      <c r="B227" s="2">
        <f>VALUE(REPLACE(CustomerTable[[#This Row],[Ticket]],1,3,""))</f>
        <v>488</v>
      </c>
      <c r="C227" s="2" t="s">
        <v>1023</v>
      </c>
      <c r="D227" s="2" t="s">
        <v>2237</v>
      </c>
      <c r="F227" s="2" t="s">
        <v>398</v>
      </c>
      <c r="G227" s="2" t="str">
        <f>IF(CustomerTable[[#This Row],[Status]]="RESOLVED","Done",IF(CustomerTable[[#This Row],[Status]]="CLOSED","DONE",IF(CustomerTable[[#This Row],[Status]]="DEFERRED","Done","Pending")))</f>
        <v>Done</v>
      </c>
      <c r="H227" s="2" t="s">
        <v>1032</v>
      </c>
      <c r="I227" s="2" t="s">
        <v>389</v>
      </c>
      <c r="J227" s="2" t="s">
        <v>1256</v>
      </c>
      <c r="K227" s="16">
        <v>45941</v>
      </c>
      <c r="M227" s="16">
        <v>46006</v>
      </c>
    </row>
    <row r="228" spans="1:13" x14ac:dyDescent="0.4">
      <c r="A228" s="2" t="s">
        <v>228</v>
      </c>
      <c r="B228" s="2">
        <f>VALUE(REPLACE(CustomerTable[[#This Row],[Ticket]],1,3,""))</f>
        <v>489</v>
      </c>
      <c r="C228" s="2" t="s">
        <v>1023</v>
      </c>
      <c r="D228" s="2" t="s">
        <v>2238</v>
      </c>
      <c r="F228" s="2" t="s">
        <v>398</v>
      </c>
      <c r="G228" s="2" t="str">
        <f>IF(CustomerTable[[#This Row],[Status]]="RESOLVED","Done",IF(CustomerTable[[#This Row],[Status]]="CLOSED","DONE",IF(CustomerTable[[#This Row],[Status]]="DEFERRED","Done","Pending")))</f>
        <v>Done</v>
      </c>
      <c r="H228" s="2" t="s">
        <v>1032</v>
      </c>
      <c r="I228" s="2" t="s">
        <v>389</v>
      </c>
      <c r="J228" s="2" t="s">
        <v>1257</v>
      </c>
      <c r="K228" s="16">
        <v>45940</v>
      </c>
      <c r="M228" s="16">
        <v>46042</v>
      </c>
    </row>
    <row r="229" spans="1:13" x14ac:dyDescent="0.4">
      <c r="A229" s="2" t="s">
        <v>229</v>
      </c>
      <c r="B229" s="2">
        <f>VALUE(REPLACE(CustomerTable[[#This Row],[Ticket]],1,3,""))</f>
        <v>490</v>
      </c>
      <c r="C229" s="2" t="s">
        <v>1024</v>
      </c>
      <c r="D229" s="2" t="s">
        <v>2239</v>
      </c>
      <c r="E229" s="2" t="s">
        <v>405</v>
      </c>
      <c r="F229" s="2" t="s">
        <v>398</v>
      </c>
      <c r="G229" s="2" t="str">
        <f>IF(CustomerTable[[#This Row],[Status]]="RESOLVED","Done",IF(CustomerTable[[#This Row],[Status]]="CLOSED","DONE",IF(CustomerTable[[#This Row],[Status]]="DEFERRED","Done","Pending")))</f>
        <v>Done</v>
      </c>
      <c r="H229" s="2" t="s">
        <v>1029</v>
      </c>
      <c r="I229" s="2" t="s">
        <v>393</v>
      </c>
      <c r="J229" s="2" t="s">
        <v>1258</v>
      </c>
      <c r="K229" s="16">
        <v>45943</v>
      </c>
      <c r="M229" s="16">
        <v>46107</v>
      </c>
    </row>
    <row r="230" spans="1:13" x14ac:dyDescent="0.4">
      <c r="A230" s="2" t="s">
        <v>230</v>
      </c>
      <c r="B230" s="2">
        <f>VALUE(REPLACE(CustomerTable[[#This Row],[Ticket]],1,3,""))</f>
        <v>491</v>
      </c>
      <c r="C230" s="2" t="s">
        <v>1024</v>
      </c>
      <c r="D230" s="2" t="s">
        <v>2240</v>
      </c>
      <c r="E230" s="2" t="s">
        <v>405</v>
      </c>
      <c r="F230" s="2" t="s">
        <v>398</v>
      </c>
      <c r="G230" s="2" t="str">
        <f>IF(CustomerTable[[#This Row],[Status]]="RESOLVED","Done",IF(CustomerTable[[#This Row],[Status]]="CLOSED","DONE",IF(CustomerTable[[#This Row],[Status]]="DEFERRED","Done","Pending")))</f>
        <v>Done</v>
      </c>
      <c r="H230" s="2" t="s">
        <v>1029</v>
      </c>
      <c r="I230" s="2" t="s">
        <v>393</v>
      </c>
      <c r="J230" s="2" t="s">
        <v>1259</v>
      </c>
      <c r="K230" s="16">
        <v>45974</v>
      </c>
      <c r="M230" s="16">
        <v>46100</v>
      </c>
    </row>
    <row r="231" spans="1:13" x14ac:dyDescent="0.4">
      <c r="A231" s="2" t="s">
        <v>231</v>
      </c>
      <c r="B231" s="2">
        <f>VALUE(REPLACE(CustomerTable[[#This Row],[Ticket]],1,3,""))</f>
        <v>492</v>
      </c>
      <c r="C231" s="2" t="s">
        <v>1023</v>
      </c>
      <c r="D231" s="2" t="s">
        <v>2241</v>
      </c>
      <c r="E231" s="2" t="s">
        <v>405</v>
      </c>
      <c r="F231" s="2" t="s">
        <v>398</v>
      </c>
      <c r="G231" s="2" t="str">
        <f>IF(CustomerTable[[#This Row],[Status]]="RESOLVED","Done",IF(CustomerTable[[#This Row],[Status]]="CLOSED","DONE",IF(CustomerTable[[#This Row],[Status]]="DEFERRED","Done","Pending")))</f>
        <v>Done</v>
      </c>
      <c r="H231" s="2" t="s">
        <v>1034</v>
      </c>
      <c r="I231" s="2" t="s">
        <v>393</v>
      </c>
      <c r="J231" s="2" t="s">
        <v>1260</v>
      </c>
      <c r="K231" s="16">
        <v>45974</v>
      </c>
      <c r="M231" s="16">
        <v>46006</v>
      </c>
    </row>
    <row r="232" spans="1:13" x14ac:dyDescent="0.4">
      <c r="A232" s="2" t="s">
        <v>232</v>
      </c>
      <c r="B232" s="2">
        <f>VALUE(REPLACE(CustomerTable[[#This Row],[Ticket]],1,3,""))</f>
        <v>493</v>
      </c>
      <c r="C232" s="2" t="s">
        <v>1023</v>
      </c>
      <c r="D232" s="2" t="s">
        <v>2242</v>
      </c>
      <c r="E232" s="2" t="s">
        <v>405</v>
      </c>
      <c r="F232" s="2" t="s">
        <v>398</v>
      </c>
      <c r="G232" s="2" t="str">
        <f>IF(CustomerTable[[#This Row],[Status]]="RESOLVED","Done",IF(CustomerTable[[#This Row],[Status]]="CLOSED","DONE",IF(CustomerTable[[#This Row],[Status]]="DEFERRED","Done","Pending")))</f>
        <v>Done</v>
      </c>
      <c r="H232" s="2" t="s">
        <v>11</v>
      </c>
      <c r="I232" s="2" t="s">
        <v>390</v>
      </c>
      <c r="J232" s="2" t="s">
        <v>1261</v>
      </c>
      <c r="K232" s="16">
        <v>45974</v>
      </c>
      <c r="M232" s="16">
        <v>45974</v>
      </c>
    </row>
    <row r="233" spans="1:13" x14ac:dyDescent="0.4">
      <c r="A233" s="2" t="s">
        <v>233</v>
      </c>
      <c r="B233" s="2">
        <f>VALUE(REPLACE(CustomerTable[[#This Row],[Ticket]],1,3,""))</f>
        <v>494</v>
      </c>
      <c r="C233" s="2" t="s">
        <v>1023</v>
      </c>
      <c r="D233" s="2" t="s">
        <v>2243</v>
      </c>
      <c r="E233" s="2" t="s">
        <v>405</v>
      </c>
      <c r="F233" s="2" t="s">
        <v>398</v>
      </c>
      <c r="G233" s="2" t="str">
        <f>IF(CustomerTable[[#This Row],[Status]]="RESOLVED","Done",IF(CustomerTable[[#This Row],[Status]]="CLOSED","DONE",IF(CustomerTable[[#This Row],[Status]]="DEFERRED","Done","Pending")))</f>
        <v>Done</v>
      </c>
      <c r="H233" s="2" t="s">
        <v>1025</v>
      </c>
      <c r="I233" s="2" t="s">
        <v>389</v>
      </c>
      <c r="J233" s="2" t="s">
        <v>1262</v>
      </c>
      <c r="K233" s="16">
        <v>45974</v>
      </c>
      <c r="M233" s="16">
        <v>46030</v>
      </c>
    </row>
    <row r="234" spans="1:13" x14ac:dyDescent="0.4">
      <c r="A234" s="2" t="s">
        <v>234</v>
      </c>
      <c r="B234" s="2">
        <f>VALUE(REPLACE(CustomerTable[[#This Row],[Ticket]],1,3,""))</f>
        <v>495</v>
      </c>
      <c r="C234" s="2" t="s">
        <v>1024</v>
      </c>
      <c r="D234" s="2" t="s">
        <v>2244</v>
      </c>
      <c r="E234" s="2" t="s">
        <v>405</v>
      </c>
      <c r="F234" s="2" t="s">
        <v>398</v>
      </c>
      <c r="G234" s="2" t="str">
        <f>IF(CustomerTable[[#This Row],[Status]]="RESOLVED","Done",IF(CustomerTable[[#This Row],[Status]]="CLOSED","DONE",IF(CustomerTable[[#This Row],[Status]]="DEFERRED","Done","Pending")))</f>
        <v>Done</v>
      </c>
      <c r="H234" s="2" t="s">
        <v>1029</v>
      </c>
      <c r="I234" s="2" t="s">
        <v>390</v>
      </c>
      <c r="J234" s="2" t="s">
        <v>1263</v>
      </c>
      <c r="K234" s="16">
        <v>45975</v>
      </c>
      <c r="M234" s="16">
        <v>46107</v>
      </c>
    </row>
    <row r="235" spans="1:13" x14ac:dyDescent="0.4">
      <c r="A235" s="2" t="s">
        <v>235</v>
      </c>
      <c r="B235" s="2">
        <f>VALUE(REPLACE(CustomerTable[[#This Row],[Ticket]],1,3,""))</f>
        <v>496</v>
      </c>
      <c r="C235" s="2" t="s">
        <v>1023</v>
      </c>
      <c r="D235" s="2" t="s">
        <v>2245</v>
      </c>
      <c r="E235" s="2" t="s">
        <v>405</v>
      </c>
      <c r="F235" s="2" t="s">
        <v>398</v>
      </c>
      <c r="G235" s="2" t="str">
        <f>IF(CustomerTable[[#This Row],[Status]]="RESOLVED","Done",IF(CustomerTable[[#This Row],[Status]]="CLOSED","DONE",IF(CustomerTable[[#This Row],[Status]]="DEFERRED","Done","Pending")))</f>
        <v>Done</v>
      </c>
      <c r="H235" s="2" t="s">
        <v>11</v>
      </c>
      <c r="I235" s="2" t="s">
        <v>389</v>
      </c>
      <c r="J235" s="2" t="s">
        <v>1264</v>
      </c>
      <c r="K235" s="16">
        <v>45978</v>
      </c>
      <c r="M235" s="16">
        <v>45978</v>
      </c>
    </row>
    <row r="236" spans="1:13" x14ac:dyDescent="0.4">
      <c r="A236" s="2" t="s">
        <v>236</v>
      </c>
      <c r="B236" s="2">
        <f>VALUE(REPLACE(CustomerTable[[#This Row],[Ticket]],1,3,""))</f>
        <v>497</v>
      </c>
      <c r="C236" s="2" t="s">
        <v>1023</v>
      </c>
      <c r="D236" s="2" t="s">
        <v>2246</v>
      </c>
      <c r="E236" s="2" t="s">
        <v>405</v>
      </c>
      <c r="F236" s="2" t="s">
        <v>398</v>
      </c>
      <c r="G236" s="2" t="str">
        <f>IF(CustomerTable[[#This Row],[Status]]="RESOLVED","Done",IF(CustomerTable[[#This Row],[Status]]="CLOSED","DONE",IF(CustomerTable[[#This Row],[Status]]="DEFERRED","Done","Pending")))</f>
        <v>Done</v>
      </c>
      <c r="H236" s="2" t="s">
        <v>1025</v>
      </c>
      <c r="I236" s="2" t="s">
        <v>388</v>
      </c>
      <c r="J236" s="2" t="s">
        <v>1265</v>
      </c>
      <c r="K236" s="16">
        <v>45978</v>
      </c>
      <c r="M236" s="16">
        <v>46018</v>
      </c>
    </row>
    <row r="237" spans="1:13" x14ac:dyDescent="0.4">
      <c r="A237" s="2" t="s">
        <v>237</v>
      </c>
      <c r="B237" s="2">
        <f>VALUE(REPLACE(CustomerTable[[#This Row],[Ticket]],1,3,""))</f>
        <v>498</v>
      </c>
      <c r="C237" s="2" t="s">
        <v>1023</v>
      </c>
      <c r="D237" s="2" t="s">
        <v>2247</v>
      </c>
      <c r="F237" s="2" t="s">
        <v>398</v>
      </c>
      <c r="G237" s="2" t="str">
        <f>IF(CustomerTable[[#This Row],[Status]]="RESOLVED","Done",IF(CustomerTable[[#This Row],[Status]]="CLOSED","DONE",IF(CustomerTable[[#This Row],[Status]]="DEFERRED","Done","Pending")))</f>
        <v>Done</v>
      </c>
      <c r="H237" s="2" t="s">
        <v>1025</v>
      </c>
      <c r="I237" s="2" t="s">
        <v>389</v>
      </c>
      <c r="J237" s="2" t="s">
        <v>1266</v>
      </c>
      <c r="K237" s="16">
        <v>45978</v>
      </c>
      <c r="M237" s="16">
        <v>46013</v>
      </c>
    </row>
    <row r="238" spans="1:13" x14ac:dyDescent="0.4">
      <c r="A238" s="2" t="s">
        <v>238</v>
      </c>
      <c r="B238" s="2">
        <f>VALUE(REPLACE(CustomerTable[[#This Row],[Ticket]],1,3,""))</f>
        <v>499</v>
      </c>
      <c r="C238" s="2" t="s">
        <v>1023</v>
      </c>
      <c r="D238" s="2" t="s">
        <v>2248</v>
      </c>
      <c r="F238" s="2" t="s">
        <v>398</v>
      </c>
      <c r="G238" s="2" t="str">
        <f>IF(CustomerTable[[#This Row],[Status]]="RESOLVED","Done",IF(CustomerTable[[#This Row],[Status]]="CLOSED","DONE",IF(CustomerTable[[#This Row],[Status]]="DEFERRED","Done","Pending")))</f>
        <v>Done</v>
      </c>
      <c r="H238" s="2" t="s">
        <v>1025</v>
      </c>
      <c r="I238" s="2" t="s">
        <v>392</v>
      </c>
      <c r="J238" s="2" t="s">
        <v>1267</v>
      </c>
      <c r="K238" s="16">
        <v>45979</v>
      </c>
      <c r="M238" s="16">
        <v>46021</v>
      </c>
    </row>
    <row r="239" spans="1:13" x14ac:dyDescent="0.4">
      <c r="A239" s="2" t="s">
        <v>239</v>
      </c>
      <c r="B239" s="2">
        <f>VALUE(REPLACE(CustomerTable[[#This Row],[Ticket]],1,3,""))</f>
        <v>500</v>
      </c>
      <c r="C239" s="2" t="s">
        <v>1023</v>
      </c>
      <c r="D239" s="2" t="s">
        <v>2249</v>
      </c>
      <c r="E239" s="2" t="s">
        <v>405</v>
      </c>
      <c r="F239" s="2" t="s">
        <v>398</v>
      </c>
      <c r="G239" s="2" t="str">
        <f>IF(CustomerTable[[#This Row],[Status]]="RESOLVED","Done",IF(CustomerTable[[#This Row],[Status]]="CLOSED","DONE",IF(CustomerTable[[#This Row],[Status]]="DEFERRED","Done","Pending")))</f>
        <v>Done</v>
      </c>
      <c r="H239" s="2" t="s">
        <v>11</v>
      </c>
      <c r="I239" s="2" t="s">
        <v>391</v>
      </c>
      <c r="J239" s="2" t="s">
        <v>1268</v>
      </c>
      <c r="K239" s="16">
        <v>45979</v>
      </c>
      <c r="M239" s="16">
        <v>45979</v>
      </c>
    </row>
    <row r="240" spans="1:13" x14ac:dyDescent="0.4">
      <c r="A240" s="2" t="s">
        <v>240</v>
      </c>
      <c r="B240" s="2">
        <f>VALUE(REPLACE(CustomerTable[[#This Row],[Ticket]],1,3,""))</f>
        <v>501</v>
      </c>
      <c r="C240" s="2" t="s">
        <v>1023</v>
      </c>
      <c r="D240" s="2" t="s">
        <v>2250</v>
      </c>
      <c r="F240" s="2" t="s">
        <v>398</v>
      </c>
      <c r="G240" s="2" t="str">
        <f>IF(CustomerTable[[#This Row],[Status]]="RESOLVED","Done",IF(CustomerTable[[#This Row],[Status]]="CLOSED","DONE",IF(CustomerTable[[#This Row],[Status]]="DEFERRED","Done","Pending")))</f>
        <v>Done</v>
      </c>
      <c r="H240" s="2" t="s">
        <v>11</v>
      </c>
      <c r="I240" s="2" t="s">
        <v>388</v>
      </c>
      <c r="J240" s="2" t="s">
        <v>1269</v>
      </c>
      <c r="K240" s="16">
        <v>45979</v>
      </c>
      <c r="M240" s="16">
        <v>46029</v>
      </c>
    </row>
    <row r="241" spans="1:13" x14ac:dyDescent="0.4">
      <c r="A241" s="2" t="s">
        <v>241</v>
      </c>
      <c r="B241" s="2">
        <f>VALUE(REPLACE(CustomerTable[[#This Row],[Ticket]],1,3,""))</f>
        <v>502</v>
      </c>
      <c r="C241" s="2" t="s">
        <v>1023</v>
      </c>
      <c r="D241" s="2" t="s">
        <v>2251</v>
      </c>
      <c r="F241" s="2" t="s">
        <v>398</v>
      </c>
      <c r="G241" s="2" t="str">
        <f>IF(CustomerTable[[#This Row],[Status]]="RESOLVED","Done",IF(CustomerTable[[#This Row],[Status]]="CLOSED","DONE",IF(CustomerTable[[#This Row],[Status]]="DEFERRED","Done","Pending")))</f>
        <v>Done</v>
      </c>
      <c r="H241" s="2" t="s">
        <v>1025</v>
      </c>
      <c r="I241" s="2" t="s">
        <v>391</v>
      </c>
      <c r="J241" s="2" t="s">
        <v>1270</v>
      </c>
      <c r="K241" s="16">
        <v>45979</v>
      </c>
      <c r="M241" s="16">
        <v>46018</v>
      </c>
    </row>
    <row r="242" spans="1:13" x14ac:dyDescent="0.4">
      <c r="A242" s="2" t="s">
        <v>242</v>
      </c>
      <c r="B242" s="2">
        <f>VALUE(REPLACE(CustomerTable[[#This Row],[Ticket]],1,3,""))</f>
        <v>503</v>
      </c>
      <c r="C242" s="2" t="s">
        <v>1023</v>
      </c>
      <c r="D242" s="2" t="s">
        <v>2252</v>
      </c>
      <c r="F242" s="2" t="s">
        <v>398</v>
      </c>
      <c r="G242" s="2" t="str">
        <f>IF(CustomerTable[[#This Row],[Status]]="RESOLVED","Done",IF(CustomerTable[[#This Row],[Status]]="CLOSED","DONE",IF(CustomerTable[[#This Row],[Status]]="DEFERRED","Done","Pending")))</f>
        <v>Done</v>
      </c>
      <c r="H242" s="2" t="s">
        <v>1025</v>
      </c>
      <c r="I242" s="2" t="s">
        <v>389</v>
      </c>
      <c r="J242" s="2" t="s">
        <v>1271</v>
      </c>
      <c r="K242" s="16">
        <v>45979</v>
      </c>
      <c r="M242" s="16">
        <v>46029</v>
      </c>
    </row>
    <row r="243" spans="1:13" x14ac:dyDescent="0.4">
      <c r="A243" s="2" t="s">
        <v>243</v>
      </c>
      <c r="B243" s="2">
        <f>VALUE(REPLACE(CustomerTable[[#This Row],[Ticket]],1,3,""))</f>
        <v>504</v>
      </c>
      <c r="C243" s="2" t="s">
        <v>1023</v>
      </c>
      <c r="D243" s="2" t="s">
        <v>2253</v>
      </c>
      <c r="F243" s="2" t="s">
        <v>398</v>
      </c>
      <c r="G243" s="2" t="str">
        <f>IF(CustomerTable[[#This Row],[Status]]="RESOLVED","Done",IF(CustomerTable[[#This Row],[Status]]="CLOSED","DONE",IF(CustomerTable[[#This Row],[Status]]="DEFERRED","Done","Pending")))</f>
        <v>Done</v>
      </c>
      <c r="H243" s="2" t="s">
        <v>1032</v>
      </c>
      <c r="I243" s="2" t="s">
        <v>389</v>
      </c>
      <c r="J243" s="2" t="s">
        <v>1272</v>
      </c>
      <c r="K243" s="16">
        <v>45979</v>
      </c>
      <c r="M243" s="16">
        <v>46029</v>
      </c>
    </row>
    <row r="244" spans="1:13" x14ac:dyDescent="0.4">
      <c r="A244" s="2" t="s">
        <v>244</v>
      </c>
      <c r="B244" s="2">
        <f>VALUE(REPLACE(CustomerTable[[#This Row],[Ticket]],1,3,""))</f>
        <v>505</v>
      </c>
      <c r="C244" s="2" t="s">
        <v>1023</v>
      </c>
      <c r="D244" s="2" t="s">
        <v>2254</v>
      </c>
      <c r="F244" s="2" t="s">
        <v>398</v>
      </c>
      <c r="G244" s="2" t="str">
        <f>IF(CustomerTable[[#This Row],[Status]]="RESOLVED","Done",IF(CustomerTable[[#This Row],[Status]]="CLOSED","DONE",IF(CustomerTable[[#This Row],[Status]]="DEFERRED","Done","Pending")))</f>
        <v>Done</v>
      </c>
      <c r="H244" s="2" t="s">
        <v>11</v>
      </c>
      <c r="I244" s="2" t="s">
        <v>392</v>
      </c>
      <c r="J244" s="2" t="s">
        <v>1273</v>
      </c>
      <c r="K244" s="16">
        <v>45979</v>
      </c>
      <c r="M244" s="16">
        <v>46029</v>
      </c>
    </row>
    <row r="245" spans="1:13" x14ac:dyDescent="0.4">
      <c r="A245" s="2" t="s">
        <v>245</v>
      </c>
      <c r="B245" s="2">
        <f>VALUE(REPLACE(CustomerTable[[#This Row],[Ticket]],1,3,""))</f>
        <v>506</v>
      </c>
      <c r="C245" s="2" t="s">
        <v>1023</v>
      </c>
      <c r="D245" s="2" t="s">
        <v>2255</v>
      </c>
      <c r="E245" s="2" t="s">
        <v>405</v>
      </c>
      <c r="F245" s="2" t="s">
        <v>398</v>
      </c>
      <c r="G245" s="2" t="str">
        <f>IF(CustomerTable[[#This Row],[Status]]="RESOLVED","Done",IF(CustomerTable[[#This Row],[Status]]="CLOSED","DONE",IF(CustomerTable[[#This Row],[Status]]="DEFERRED","Done","Pending")))</f>
        <v>Done</v>
      </c>
      <c r="H245" s="2" t="s">
        <v>11</v>
      </c>
      <c r="I245" s="2" t="s">
        <v>389</v>
      </c>
      <c r="J245" s="2" t="s">
        <v>1274</v>
      </c>
      <c r="K245" s="16">
        <v>45979</v>
      </c>
      <c r="M245" s="16">
        <v>45979</v>
      </c>
    </row>
    <row r="246" spans="1:13" x14ac:dyDescent="0.4">
      <c r="A246" s="2" t="s">
        <v>246</v>
      </c>
      <c r="B246" s="2">
        <f>VALUE(REPLACE(CustomerTable[[#This Row],[Ticket]],1,3,""))</f>
        <v>507</v>
      </c>
      <c r="C246" s="2" t="s">
        <v>1023</v>
      </c>
      <c r="D246" s="2" t="s">
        <v>2256</v>
      </c>
      <c r="F246" s="2" t="s">
        <v>398</v>
      </c>
      <c r="G246" s="2" t="str">
        <f>IF(CustomerTable[[#This Row],[Status]]="RESOLVED","Done",IF(CustomerTable[[#This Row],[Status]]="CLOSED","DONE",IF(CustomerTable[[#This Row],[Status]]="DEFERRED","Done","Pending")))</f>
        <v>Done</v>
      </c>
      <c r="H246" s="2" t="s">
        <v>11</v>
      </c>
      <c r="I246" s="2" t="s">
        <v>391</v>
      </c>
      <c r="J246" s="2" t="s">
        <v>1275</v>
      </c>
      <c r="K246" s="16">
        <v>45979</v>
      </c>
      <c r="M246" s="16">
        <v>46030</v>
      </c>
    </row>
    <row r="247" spans="1:13" x14ac:dyDescent="0.4">
      <c r="A247" s="2" t="s">
        <v>247</v>
      </c>
      <c r="B247" s="2">
        <f>VALUE(REPLACE(CustomerTable[[#This Row],[Ticket]],1,3,""))</f>
        <v>508</v>
      </c>
      <c r="C247" s="2" t="s">
        <v>1023</v>
      </c>
      <c r="D247" s="2" t="s">
        <v>2257</v>
      </c>
      <c r="F247" s="2" t="s">
        <v>398</v>
      </c>
      <c r="G247" s="2" t="str">
        <f>IF(CustomerTable[[#This Row],[Status]]="RESOLVED","Done",IF(CustomerTable[[#This Row],[Status]]="CLOSED","DONE",IF(CustomerTable[[#This Row],[Status]]="DEFERRED","Done","Pending")))</f>
        <v>Done</v>
      </c>
      <c r="H247" s="2" t="s">
        <v>1025</v>
      </c>
      <c r="I247" s="2" t="s">
        <v>392</v>
      </c>
      <c r="J247" s="2" t="s">
        <v>1276</v>
      </c>
      <c r="K247" s="16">
        <v>45979</v>
      </c>
      <c r="M247" s="16">
        <v>46030</v>
      </c>
    </row>
    <row r="248" spans="1:13" x14ac:dyDescent="0.4">
      <c r="A248" s="2" t="s">
        <v>248</v>
      </c>
      <c r="B248" s="2">
        <f>VALUE(REPLACE(CustomerTable[[#This Row],[Ticket]],1,3,""))</f>
        <v>509</v>
      </c>
      <c r="C248" s="2" t="s">
        <v>1023</v>
      </c>
      <c r="D248" s="2" t="s">
        <v>2258</v>
      </c>
      <c r="F248" s="2" t="s">
        <v>398</v>
      </c>
      <c r="G248" s="2" t="str">
        <f>IF(CustomerTable[[#This Row],[Status]]="RESOLVED","Done",IF(CustomerTable[[#This Row],[Status]]="CLOSED","DONE",IF(CustomerTable[[#This Row],[Status]]="DEFERRED","Done","Pending")))</f>
        <v>Done</v>
      </c>
      <c r="H248" s="2" t="s">
        <v>1032</v>
      </c>
      <c r="I248" s="2" t="s">
        <v>395</v>
      </c>
      <c r="J248" s="2" t="s">
        <v>1277</v>
      </c>
      <c r="K248" s="16">
        <v>45980</v>
      </c>
      <c r="M248" s="16"/>
    </row>
    <row r="249" spans="1:13" x14ac:dyDescent="0.4">
      <c r="A249" s="2" t="s">
        <v>249</v>
      </c>
      <c r="B249" s="2">
        <f>VALUE(REPLACE(CustomerTable[[#This Row],[Ticket]],1,3,""))</f>
        <v>510</v>
      </c>
      <c r="C249" s="2" t="s">
        <v>1023</v>
      </c>
      <c r="D249" s="2" t="s">
        <v>2259</v>
      </c>
      <c r="E249" s="2" t="s">
        <v>405</v>
      </c>
      <c r="F249" s="2" t="s">
        <v>398</v>
      </c>
      <c r="G249" s="2" t="str">
        <f>IF(CustomerTable[[#This Row],[Status]]="RESOLVED","Done",IF(CustomerTable[[#This Row],[Status]]="CLOSED","DONE",IF(CustomerTable[[#This Row],[Status]]="DEFERRED","Done","Pending")))</f>
        <v>Done</v>
      </c>
      <c r="H249" s="2" t="s">
        <v>1025</v>
      </c>
      <c r="I249" s="2" t="s">
        <v>395</v>
      </c>
      <c r="J249" s="2" t="s">
        <v>1278</v>
      </c>
      <c r="K249" s="16">
        <v>45980</v>
      </c>
      <c r="M249" s="16">
        <v>45982</v>
      </c>
    </row>
    <row r="250" spans="1:13" x14ac:dyDescent="0.4">
      <c r="A250" s="2" t="s">
        <v>250</v>
      </c>
      <c r="B250" s="2">
        <f>VALUE(REPLACE(CustomerTable[[#This Row],[Ticket]],1,3,""))</f>
        <v>511</v>
      </c>
      <c r="C250" s="2" t="s">
        <v>1023</v>
      </c>
      <c r="D250" s="2" t="s">
        <v>2260</v>
      </c>
      <c r="F250" s="2" t="s">
        <v>398</v>
      </c>
      <c r="G250" s="2" t="str">
        <f>IF(CustomerTable[[#This Row],[Status]]="RESOLVED","Done",IF(CustomerTable[[#This Row],[Status]]="CLOSED","DONE",IF(CustomerTable[[#This Row],[Status]]="DEFERRED","Done","Pending")))</f>
        <v>Done</v>
      </c>
      <c r="H250" s="2" t="s">
        <v>1032</v>
      </c>
      <c r="I250" s="2" t="s">
        <v>389</v>
      </c>
      <c r="J250" s="2" t="s">
        <v>1279</v>
      </c>
      <c r="K250" s="16">
        <v>45980</v>
      </c>
      <c r="M250" s="16">
        <v>46037</v>
      </c>
    </row>
    <row r="251" spans="1:13" x14ac:dyDescent="0.4">
      <c r="A251" s="2" t="s">
        <v>251</v>
      </c>
      <c r="B251" s="2">
        <f>VALUE(REPLACE(CustomerTable[[#This Row],[Ticket]],1,3,""))</f>
        <v>512</v>
      </c>
      <c r="C251" s="2" t="s">
        <v>1023</v>
      </c>
      <c r="D251" s="2" t="s">
        <v>2261</v>
      </c>
      <c r="E251" s="2" t="s">
        <v>405</v>
      </c>
      <c r="F251" s="2" t="s">
        <v>398</v>
      </c>
      <c r="G251" s="2" t="str">
        <f>IF(CustomerTable[[#This Row],[Status]]="RESOLVED","Done",IF(CustomerTable[[#This Row],[Status]]="CLOSED","DONE",IF(CustomerTable[[#This Row],[Status]]="DEFERRED","Done","Pending")))</f>
        <v>Done</v>
      </c>
      <c r="H251" s="2" t="s">
        <v>1025</v>
      </c>
      <c r="I251" s="2" t="s">
        <v>393</v>
      </c>
      <c r="J251" s="2" t="s">
        <v>1280</v>
      </c>
      <c r="K251" s="16">
        <v>45980</v>
      </c>
      <c r="M251" s="16">
        <v>45996</v>
      </c>
    </row>
    <row r="252" spans="1:13" x14ac:dyDescent="0.4">
      <c r="A252" s="2" t="s">
        <v>252</v>
      </c>
      <c r="B252" s="2">
        <f>VALUE(REPLACE(CustomerTable[[#This Row],[Ticket]],1,3,""))</f>
        <v>513</v>
      </c>
      <c r="C252" s="2" t="s">
        <v>1023</v>
      </c>
      <c r="D252" s="2" t="s">
        <v>2262</v>
      </c>
      <c r="F252" s="2" t="s">
        <v>398</v>
      </c>
      <c r="G252" s="2" t="str">
        <f>IF(CustomerTable[[#This Row],[Status]]="RESOLVED","Done",IF(CustomerTable[[#This Row],[Status]]="CLOSED","DONE",IF(CustomerTable[[#This Row],[Status]]="DEFERRED","Done","Pending")))</f>
        <v>Done</v>
      </c>
      <c r="H252" s="2" t="s">
        <v>1025</v>
      </c>
      <c r="I252" s="2" t="s">
        <v>389</v>
      </c>
      <c r="J252" s="2" t="s">
        <v>1281</v>
      </c>
      <c r="K252" s="16">
        <v>45980</v>
      </c>
      <c r="M252" s="16">
        <v>46064</v>
      </c>
    </row>
    <row r="253" spans="1:13" x14ac:dyDescent="0.4">
      <c r="A253" s="2" t="s">
        <v>253</v>
      </c>
      <c r="B253" s="2">
        <f>VALUE(REPLACE(CustomerTable[[#This Row],[Ticket]],1,3,""))</f>
        <v>514</v>
      </c>
      <c r="C253" s="2" t="s">
        <v>1023</v>
      </c>
      <c r="D253" s="2" t="s">
        <v>2263</v>
      </c>
      <c r="F253" s="2" t="s">
        <v>398</v>
      </c>
      <c r="G253" s="2" t="str">
        <f>IF(CustomerTable[[#This Row],[Status]]="RESOLVED","Done",IF(CustomerTable[[#This Row],[Status]]="CLOSED","DONE",IF(CustomerTable[[#This Row],[Status]]="DEFERRED","Done","Pending")))</f>
        <v>Done</v>
      </c>
      <c r="I253" s="2" t="s">
        <v>392</v>
      </c>
      <c r="J253" s="2" t="s">
        <v>1282</v>
      </c>
      <c r="K253" s="16">
        <v>45980</v>
      </c>
      <c r="M253" s="16"/>
    </row>
    <row r="254" spans="1:13" x14ac:dyDescent="0.4">
      <c r="A254" s="2" t="s">
        <v>254</v>
      </c>
      <c r="B254" s="2">
        <f>VALUE(REPLACE(CustomerTable[[#This Row],[Ticket]],1,3,""))</f>
        <v>515</v>
      </c>
      <c r="C254" s="2" t="s">
        <v>1023</v>
      </c>
      <c r="D254" s="2" t="s">
        <v>2264</v>
      </c>
      <c r="E254" s="2" t="s">
        <v>405</v>
      </c>
      <c r="F254" s="2" t="s">
        <v>398</v>
      </c>
      <c r="G254" s="2" t="str">
        <f>IF(CustomerTable[[#This Row],[Status]]="RESOLVED","Done",IF(CustomerTable[[#This Row],[Status]]="CLOSED","DONE",IF(CustomerTable[[#This Row],[Status]]="DEFERRED","Done","Pending")))</f>
        <v>Done</v>
      </c>
      <c r="H254" s="2" t="s">
        <v>1025</v>
      </c>
      <c r="I254" s="2" t="s">
        <v>389</v>
      </c>
      <c r="J254" s="2" t="s">
        <v>1283</v>
      </c>
      <c r="K254" s="16">
        <v>45980</v>
      </c>
      <c r="M254" s="16">
        <v>45994</v>
      </c>
    </row>
    <row r="255" spans="1:13" x14ac:dyDescent="0.4">
      <c r="A255" s="2" t="s">
        <v>255</v>
      </c>
      <c r="B255" s="2">
        <f>VALUE(REPLACE(CustomerTable[[#This Row],[Ticket]],1,3,""))</f>
        <v>516</v>
      </c>
      <c r="C255" s="2" t="s">
        <v>1023</v>
      </c>
      <c r="D255" s="2" t="s">
        <v>2265</v>
      </c>
      <c r="F255" s="2" t="s">
        <v>398</v>
      </c>
      <c r="G255" s="2" t="str">
        <f>IF(CustomerTable[[#This Row],[Status]]="RESOLVED","Done",IF(CustomerTable[[#This Row],[Status]]="CLOSED","DONE",IF(CustomerTable[[#This Row],[Status]]="DEFERRED","Done","Pending")))</f>
        <v>Done</v>
      </c>
      <c r="H255" s="2" t="s">
        <v>1025</v>
      </c>
      <c r="I255" s="2" t="s">
        <v>389</v>
      </c>
      <c r="J255" s="2" t="s">
        <v>1284</v>
      </c>
      <c r="K255" s="16">
        <v>45980</v>
      </c>
      <c r="M255" s="16"/>
    </row>
    <row r="256" spans="1:13" x14ac:dyDescent="0.4">
      <c r="A256" s="2" t="s">
        <v>256</v>
      </c>
      <c r="B256" s="2">
        <f>VALUE(REPLACE(CustomerTable[[#This Row],[Ticket]],1,3,""))</f>
        <v>517</v>
      </c>
      <c r="C256" s="2" t="s">
        <v>1023</v>
      </c>
      <c r="D256" s="2" t="s">
        <v>2266</v>
      </c>
      <c r="F256" s="2" t="s">
        <v>398</v>
      </c>
      <c r="G256" s="2" t="str">
        <f>IF(CustomerTable[[#This Row],[Status]]="RESOLVED","Done",IF(CustomerTable[[#This Row],[Status]]="CLOSED","DONE",IF(CustomerTable[[#This Row],[Status]]="DEFERRED","Done","Pending")))</f>
        <v>Done</v>
      </c>
      <c r="H256" s="2" t="s">
        <v>1032</v>
      </c>
      <c r="I256" s="2" t="s">
        <v>392</v>
      </c>
      <c r="J256" s="2" t="s">
        <v>1285</v>
      </c>
      <c r="K256" s="16">
        <v>45981</v>
      </c>
      <c r="M256" s="16"/>
    </row>
    <row r="257" spans="1:13" x14ac:dyDescent="0.4">
      <c r="A257" s="2" t="s">
        <v>257</v>
      </c>
      <c r="B257" s="2">
        <f>VALUE(REPLACE(CustomerTable[[#This Row],[Ticket]],1,3,""))</f>
        <v>518</v>
      </c>
      <c r="C257" s="2" t="s">
        <v>1023</v>
      </c>
      <c r="D257" s="2" t="s">
        <v>2267</v>
      </c>
      <c r="F257" s="2" t="s">
        <v>398</v>
      </c>
      <c r="G257" s="2" t="str">
        <f>IF(CustomerTable[[#This Row],[Status]]="RESOLVED","Done",IF(CustomerTable[[#This Row],[Status]]="CLOSED","DONE",IF(CustomerTable[[#This Row],[Status]]="DEFERRED","Done","Pending")))</f>
        <v>Done</v>
      </c>
      <c r="H257" s="2" t="s">
        <v>1025</v>
      </c>
      <c r="I257" s="2" t="s">
        <v>389</v>
      </c>
      <c r="J257" s="2" t="s">
        <v>1286</v>
      </c>
      <c r="K257" s="16">
        <v>45981</v>
      </c>
      <c r="M257" s="16"/>
    </row>
    <row r="258" spans="1:13" x14ac:dyDescent="0.4">
      <c r="A258" s="2" t="s">
        <v>258</v>
      </c>
      <c r="B258" s="2">
        <f>VALUE(REPLACE(CustomerTable[[#This Row],[Ticket]],1,3,""))</f>
        <v>519</v>
      </c>
      <c r="C258" s="2" t="s">
        <v>1023</v>
      </c>
      <c r="D258" s="2" t="s">
        <v>2268</v>
      </c>
      <c r="F258" s="2" t="s">
        <v>398</v>
      </c>
      <c r="G258" s="2" t="str">
        <f>IF(CustomerTable[[#This Row],[Status]]="RESOLVED","Done",IF(CustomerTable[[#This Row],[Status]]="CLOSED","DONE",IF(CustomerTable[[#This Row],[Status]]="DEFERRED","Done","Pending")))</f>
        <v>Done</v>
      </c>
      <c r="H258" s="2" t="s">
        <v>1032</v>
      </c>
      <c r="I258" s="2" t="s">
        <v>392</v>
      </c>
      <c r="J258" s="2" t="s">
        <v>1287</v>
      </c>
      <c r="K258" s="16">
        <v>45982</v>
      </c>
      <c r="M258" s="16"/>
    </row>
    <row r="259" spans="1:13" x14ac:dyDescent="0.4">
      <c r="A259" s="2" t="s">
        <v>259</v>
      </c>
      <c r="B259" s="2">
        <f>VALUE(REPLACE(CustomerTable[[#This Row],[Ticket]],1,3,""))</f>
        <v>520</v>
      </c>
      <c r="C259" s="2" t="s">
        <v>1023</v>
      </c>
      <c r="D259" s="2" t="s">
        <v>2269</v>
      </c>
      <c r="F259" s="2" t="s">
        <v>398</v>
      </c>
      <c r="G259" s="2" t="str">
        <f>IF(CustomerTable[[#This Row],[Status]]="RESOLVED","Done",IF(CustomerTable[[#This Row],[Status]]="CLOSED","DONE",IF(CustomerTable[[#This Row],[Status]]="DEFERRED","Done","Pending")))</f>
        <v>Done</v>
      </c>
      <c r="I259" s="2" t="s">
        <v>390</v>
      </c>
      <c r="J259" s="2" t="s">
        <v>1288</v>
      </c>
      <c r="K259" s="16">
        <v>45985</v>
      </c>
      <c r="M259" s="16"/>
    </row>
    <row r="260" spans="1:13" x14ac:dyDescent="0.4">
      <c r="A260" s="2" t="s">
        <v>260</v>
      </c>
      <c r="B260" s="2">
        <f>VALUE(REPLACE(CustomerTable[[#This Row],[Ticket]],1,3,""))</f>
        <v>521</v>
      </c>
      <c r="C260" s="2" t="s">
        <v>1023</v>
      </c>
      <c r="D260" s="2" t="s">
        <v>2270</v>
      </c>
      <c r="F260" s="2" t="s">
        <v>398</v>
      </c>
      <c r="G260" s="2" t="str">
        <f>IF(CustomerTable[[#This Row],[Status]]="RESOLVED","Done",IF(CustomerTable[[#This Row],[Status]]="CLOSED","DONE",IF(CustomerTable[[#This Row],[Status]]="DEFERRED","Done","Pending")))</f>
        <v>Done</v>
      </c>
      <c r="H260" s="2" t="s">
        <v>1025</v>
      </c>
      <c r="I260" s="2" t="s">
        <v>393</v>
      </c>
      <c r="J260" s="2" t="s">
        <v>1289</v>
      </c>
      <c r="K260" s="16">
        <v>45985</v>
      </c>
      <c r="M260" s="16"/>
    </row>
    <row r="261" spans="1:13" x14ac:dyDescent="0.4">
      <c r="A261" s="2" t="s">
        <v>261</v>
      </c>
      <c r="B261" s="2">
        <f>VALUE(REPLACE(CustomerTable[[#This Row],[Ticket]],1,3,""))</f>
        <v>522</v>
      </c>
      <c r="C261" s="2" t="s">
        <v>1023</v>
      </c>
      <c r="D261" s="2" t="s">
        <v>2271</v>
      </c>
      <c r="E261" s="2" t="s">
        <v>405</v>
      </c>
      <c r="F261" s="2" t="s">
        <v>398</v>
      </c>
      <c r="G261" s="2" t="str">
        <f>IF(CustomerTable[[#This Row],[Status]]="RESOLVED","Done",IF(CustomerTable[[#This Row],[Status]]="CLOSED","DONE",IF(CustomerTable[[#This Row],[Status]]="DEFERRED","Done","Pending")))</f>
        <v>Done</v>
      </c>
      <c r="H261" s="2" t="s">
        <v>1032</v>
      </c>
      <c r="I261" s="2" t="s">
        <v>390</v>
      </c>
      <c r="J261" s="2" t="s">
        <v>1290</v>
      </c>
      <c r="K261" s="16">
        <v>45985</v>
      </c>
      <c r="M261" s="16">
        <v>46020</v>
      </c>
    </row>
    <row r="262" spans="1:13" x14ac:dyDescent="0.4">
      <c r="A262" s="2" t="s">
        <v>262</v>
      </c>
      <c r="B262" s="2">
        <f>VALUE(REPLACE(CustomerTable[[#This Row],[Ticket]],1,3,""))</f>
        <v>523</v>
      </c>
      <c r="C262" s="2" t="s">
        <v>1023</v>
      </c>
      <c r="D262" s="2" t="s">
        <v>2272</v>
      </c>
      <c r="E262" s="2" t="s">
        <v>405</v>
      </c>
      <c r="F262" s="2" t="s">
        <v>398</v>
      </c>
      <c r="G262" s="2" t="str">
        <f>IF(CustomerTable[[#This Row],[Status]]="RESOLVED","Done",IF(CustomerTable[[#This Row],[Status]]="CLOSED","DONE",IF(CustomerTable[[#This Row],[Status]]="DEFERRED","Done","Pending")))</f>
        <v>Done</v>
      </c>
      <c r="H262" s="2" t="s">
        <v>11</v>
      </c>
      <c r="I262" s="2" t="s">
        <v>388</v>
      </c>
      <c r="J262" s="2" t="s">
        <v>1291</v>
      </c>
      <c r="K262" s="16">
        <v>45985</v>
      </c>
      <c r="M262" s="16">
        <v>45985</v>
      </c>
    </row>
    <row r="263" spans="1:13" x14ac:dyDescent="0.4">
      <c r="A263" s="2" t="s">
        <v>263</v>
      </c>
      <c r="B263" s="2">
        <f>VALUE(REPLACE(CustomerTable[[#This Row],[Ticket]],1,3,""))</f>
        <v>524</v>
      </c>
      <c r="C263" s="2" t="s">
        <v>1023</v>
      </c>
      <c r="D263" s="2" t="s">
        <v>2273</v>
      </c>
      <c r="F263" s="2" t="s">
        <v>398</v>
      </c>
      <c r="G263" s="2" t="str">
        <f>IF(CustomerTable[[#This Row],[Status]]="RESOLVED","Done",IF(CustomerTable[[#This Row],[Status]]="CLOSED","DONE",IF(CustomerTable[[#This Row],[Status]]="DEFERRED","Done","Pending")))</f>
        <v>Done</v>
      </c>
      <c r="H263" s="2" t="s">
        <v>11</v>
      </c>
      <c r="I263" s="2" t="s">
        <v>395</v>
      </c>
      <c r="J263" s="2" t="s">
        <v>1292</v>
      </c>
      <c r="K263" s="16">
        <v>45985</v>
      </c>
      <c r="M263" s="16"/>
    </row>
    <row r="264" spans="1:13" x14ac:dyDescent="0.4">
      <c r="A264" s="2" t="s">
        <v>264</v>
      </c>
      <c r="B264" s="2">
        <f>VALUE(REPLACE(CustomerTable[[#This Row],[Ticket]],1,3,""))</f>
        <v>525</v>
      </c>
      <c r="C264" s="2" t="s">
        <v>1023</v>
      </c>
      <c r="D264" s="2" t="s">
        <v>2274</v>
      </c>
      <c r="F264" s="2" t="s">
        <v>398</v>
      </c>
      <c r="G264" s="2" t="str">
        <f>IF(CustomerTable[[#This Row],[Status]]="RESOLVED","Done",IF(CustomerTable[[#This Row],[Status]]="CLOSED","DONE",IF(CustomerTable[[#This Row],[Status]]="DEFERRED","Done","Pending")))</f>
        <v>Done</v>
      </c>
      <c r="H264" s="2" t="s">
        <v>1032</v>
      </c>
      <c r="I264" s="2" t="s">
        <v>389</v>
      </c>
      <c r="J264" s="2" t="s">
        <v>1293</v>
      </c>
      <c r="K264" s="16">
        <v>45985</v>
      </c>
      <c r="M264" s="16"/>
    </row>
    <row r="265" spans="1:13" x14ac:dyDescent="0.4">
      <c r="A265" s="2" t="s">
        <v>265</v>
      </c>
      <c r="B265" s="2">
        <f>VALUE(REPLACE(CustomerTable[[#This Row],[Ticket]],1,3,""))</f>
        <v>526</v>
      </c>
      <c r="C265" s="2" t="s">
        <v>1023</v>
      </c>
      <c r="D265" s="2" t="s">
        <v>2275</v>
      </c>
      <c r="F265" s="2" t="s">
        <v>398</v>
      </c>
      <c r="G265" s="2" t="str">
        <f>IF(CustomerTable[[#This Row],[Status]]="RESOLVED","Done",IF(CustomerTable[[#This Row],[Status]]="CLOSED","DONE",IF(CustomerTable[[#This Row],[Status]]="DEFERRED","Done","Pending")))</f>
        <v>Done</v>
      </c>
      <c r="I265" s="2" t="s">
        <v>392</v>
      </c>
      <c r="J265" s="2" t="s">
        <v>1294</v>
      </c>
      <c r="K265" s="16">
        <v>45985</v>
      </c>
      <c r="M265" s="16"/>
    </row>
    <row r="266" spans="1:13" x14ac:dyDescent="0.4">
      <c r="A266" s="2" t="s">
        <v>266</v>
      </c>
      <c r="B266" s="2">
        <f>VALUE(REPLACE(CustomerTable[[#This Row],[Ticket]],1,3,""))</f>
        <v>527</v>
      </c>
      <c r="C266" s="2" t="s">
        <v>1023</v>
      </c>
      <c r="D266" s="2" t="s">
        <v>2276</v>
      </c>
      <c r="F266" s="2" t="s">
        <v>398</v>
      </c>
      <c r="G266" s="2" t="str">
        <f>IF(CustomerTable[[#This Row],[Status]]="RESOLVED","Done",IF(CustomerTable[[#This Row],[Status]]="CLOSED","DONE",IF(CustomerTable[[#This Row],[Status]]="DEFERRED","Done","Pending")))</f>
        <v>Done</v>
      </c>
      <c r="H266" s="2" t="s">
        <v>1025</v>
      </c>
      <c r="I266" s="2" t="s">
        <v>391</v>
      </c>
      <c r="J266" s="2" t="s">
        <v>1295</v>
      </c>
      <c r="K266" s="16">
        <v>45985</v>
      </c>
      <c r="M266" s="16"/>
    </row>
    <row r="267" spans="1:13" x14ac:dyDescent="0.4">
      <c r="A267" s="2" t="s">
        <v>267</v>
      </c>
      <c r="B267" s="2">
        <f>VALUE(REPLACE(CustomerTable[[#This Row],[Ticket]],1,3,""))</f>
        <v>528</v>
      </c>
      <c r="C267" s="2" t="s">
        <v>1023</v>
      </c>
      <c r="D267" s="2" t="s">
        <v>2277</v>
      </c>
      <c r="F267" s="2" t="s">
        <v>398</v>
      </c>
      <c r="G267" s="2" t="str">
        <f>IF(CustomerTable[[#This Row],[Status]]="RESOLVED","Done",IF(CustomerTable[[#This Row],[Status]]="CLOSED","DONE",IF(CustomerTable[[#This Row],[Status]]="DEFERRED","Done","Pending")))</f>
        <v>Done</v>
      </c>
      <c r="H267" s="2" t="s">
        <v>1025</v>
      </c>
      <c r="I267" s="2" t="s">
        <v>391</v>
      </c>
      <c r="J267" s="2" t="s">
        <v>1296</v>
      </c>
      <c r="K267" s="16">
        <v>45987</v>
      </c>
      <c r="M267" s="16"/>
    </row>
    <row r="268" spans="1:13" x14ac:dyDescent="0.4">
      <c r="A268" s="2" t="s">
        <v>268</v>
      </c>
      <c r="B268" s="2">
        <f>VALUE(REPLACE(CustomerTable[[#This Row],[Ticket]],1,3,""))</f>
        <v>529</v>
      </c>
      <c r="C268" s="2" t="s">
        <v>1023</v>
      </c>
      <c r="D268" s="2" t="s">
        <v>2278</v>
      </c>
      <c r="E268" s="2" t="s">
        <v>405</v>
      </c>
      <c r="F268" s="2" t="s">
        <v>398</v>
      </c>
      <c r="G268" s="2" t="str">
        <f>IF(CustomerTable[[#This Row],[Status]]="RESOLVED","Done",IF(CustomerTable[[#This Row],[Status]]="CLOSED","DONE",IF(CustomerTable[[#This Row],[Status]]="DEFERRED","Done","Pending")))</f>
        <v>Done</v>
      </c>
      <c r="H268" s="2" t="s">
        <v>1032</v>
      </c>
      <c r="I268" s="2" t="s">
        <v>389</v>
      </c>
      <c r="J268" s="2" t="s">
        <v>1297</v>
      </c>
      <c r="K268" s="16">
        <v>45987</v>
      </c>
      <c r="M268" s="16">
        <v>46030</v>
      </c>
    </row>
    <row r="269" spans="1:13" x14ac:dyDescent="0.4">
      <c r="A269" s="2" t="s">
        <v>269</v>
      </c>
      <c r="B269" s="2">
        <f>VALUE(REPLACE(CustomerTable[[#This Row],[Ticket]],1,3,""))</f>
        <v>530</v>
      </c>
      <c r="C269" s="2" t="s">
        <v>1023</v>
      </c>
      <c r="D269" s="2" t="s">
        <v>2279</v>
      </c>
      <c r="E269" s="2" t="s">
        <v>405</v>
      </c>
      <c r="F269" s="2" t="s">
        <v>398</v>
      </c>
      <c r="G269" s="2" t="str">
        <f>IF(CustomerTable[[#This Row],[Status]]="RESOLVED","Done",IF(CustomerTable[[#This Row],[Status]]="CLOSED","DONE",IF(CustomerTable[[#This Row],[Status]]="DEFERRED","Done","Pending")))</f>
        <v>Done</v>
      </c>
      <c r="H269" s="2" t="s">
        <v>1032</v>
      </c>
      <c r="I269" s="2" t="s">
        <v>392</v>
      </c>
      <c r="J269" s="2" t="s">
        <v>1298</v>
      </c>
      <c r="K269" s="16">
        <v>45987</v>
      </c>
      <c r="M269" s="16">
        <v>45999</v>
      </c>
    </row>
    <row r="270" spans="1:13" x14ac:dyDescent="0.4">
      <c r="A270" s="2" t="s">
        <v>270</v>
      </c>
      <c r="B270" s="2">
        <f>VALUE(REPLACE(CustomerTable[[#This Row],[Ticket]],1,3,""))</f>
        <v>531</v>
      </c>
      <c r="C270" s="2" t="s">
        <v>1023</v>
      </c>
      <c r="D270" s="2" t="s">
        <v>2280</v>
      </c>
      <c r="E270" s="2" t="s">
        <v>405</v>
      </c>
      <c r="F270" s="2" t="s">
        <v>398</v>
      </c>
      <c r="G270" s="2" t="str">
        <f>IF(CustomerTable[[#This Row],[Status]]="RESOLVED","Done",IF(CustomerTable[[#This Row],[Status]]="CLOSED","DONE",IF(CustomerTable[[#This Row],[Status]]="DEFERRED","Done","Pending")))</f>
        <v>Done</v>
      </c>
      <c r="H270" s="2" t="s">
        <v>1032</v>
      </c>
      <c r="I270" s="2" t="s">
        <v>389</v>
      </c>
      <c r="J270" s="2" t="s">
        <v>1299</v>
      </c>
      <c r="K270" s="16">
        <v>45989</v>
      </c>
      <c r="M270" s="16">
        <v>46058</v>
      </c>
    </row>
    <row r="271" spans="1:13" x14ac:dyDescent="0.4">
      <c r="A271" s="2" t="s">
        <v>271</v>
      </c>
      <c r="B271" s="2">
        <f>VALUE(REPLACE(CustomerTable[[#This Row],[Ticket]],1,3,""))</f>
        <v>532</v>
      </c>
      <c r="C271" s="2" t="s">
        <v>1024</v>
      </c>
      <c r="D271" s="2" t="s">
        <v>2281</v>
      </c>
      <c r="E271" s="2" t="s">
        <v>400</v>
      </c>
      <c r="F271" s="2" t="s">
        <v>398</v>
      </c>
      <c r="G271" s="2" t="str">
        <f>IF(CustomerTable[[#This Row],[Status]]="RESOLVED","Done",IF(CustomerTable[[#This Row],[Status]]="CLOSED","DONE",IF(CustomerTable[[#This Row],[Status]]="DEFERRED","Done","Pending")))</f>
        <v>Done</v>
      </c>
      <c r="H271" s="2" t="s">
        <v>1029</v>
      </c>
      <c r="I271" s="2" t="s">
        <v>393</v>
      </c>
      <c r="J271" s="2" t="s">
        <v>1300</v>
      </c>
      <c r="K271" s="16">
        <v>45989</v>
      </c>
      <c r="M271" s="16"/>
    </row>
    <row r="272" spans="1:13" x14ac:dyDescent="0.4">
      <c r="A272" s="2" t="s">
        <v>272</v>
      </c>
      <c r="B272" s="2">
        <f>VALUE(REPLACE(CustomerTable[[#This Row],[Ticket]],1,3,""))</f>
        <v>533</v>
      </c>
      <c r="C272" s="2" t="s">
        <v>1023</v>
      </c>
      <c r="D272" s="2" t="s">
        <v>2282</v>
      </c>
      <c r="F272" s="2" t="s">
        <v>398</v>
      </c>
      <c r="G272" s="2" t="str">
        <f>IF(CustomerTable[[#This Row],[Status]]="RESOLVED","Done",IF(CustomerTable[[#This Row],[Status]]="CLOSED","DONE",IF(CustomerTable[[#This Row],[Status]]="DEFERRED","Done","Pending")))</f>
        <v>Done</v>
      </c>
      <c r="H272" s="2" t="s">
        <v>1025</v>
      </c>
      <c r="I272" s="2" t="s">
        <v>391</v>
      </c>
      <c r="J272" s="2" t="s">
        <v>1301</v>
      </c>
      <c r="K272" s="16">
        <v>45992</v>
      </c>
      <c r="M272" s="16"/>
    </row>
    <row r="273" spans="1:13" x14ac:dyDescent="0.4">
      <c r="A273" s="2" t="s">
        <v>273</v>
      </c>
      <c r="B273" s="2">
        <f>VALUE(REPLACE(CustomerTable[[#This Row],[Ticket]],1,3,""))</f>
        <v>534</v>
      </c>
      <c r="C273" s="2" t="s">
        <v>1023</v>
      </c>
      <c r="D273" s="2" t="s">
        <v>2283</v>
      </c>
      <c r="F273" s="2" t="s">
        <v>398</v>
      </c>
      <c r="G273" s="2" t="str">
        <f>IF(CustomerTable[[#This Row],[Status]]="RESOLVED","Done",IF(CustomerTable[[#This Row],[Status]]="CLOSED","DONE",IF(CustomerTable[[#This Row],[Status]]="DEFERRED","Done","Pending")))</f>
        <v>Done</v>
      </c>
      <c r="H273" s="2" t="s">
        <v>1032</v>
      </c>
      <c r="I273" s="2" t="s">
        <v>389</v>
      </c>
      <c r="J273" s="2" t="s">
        <v>1302</v>
      </c>
      <c r="K273" s="16">
        <v>45992</v>
      </c>
      <c r="M273" s="16"/>
    </row>
    <row r="274" spans="1:13" x14ac:dyDescent="0.4">
      <c r="A274" s="2" t="s">
        <v>274</v>
      </c>
      <c r="B274" s="2">
        <f>VALUE(REPLACE(CustomerTable[[#This Row],[Ticket]],1,3,""))</f>
        <v>535</v>
      </c>
      <c r="C274" s="2" t="s">
        <v>1023</v>
      </c>
      <c r="D274" s="2" t="s">
        <v>2284</v>
      </c>
      <c r="F274" s="2" t="s">
        <v>398</v>
      </c>
      <c r="G274" s="2" t="str">
        <f>IF(CustomerTable[[#This Row],[Status]]="RESOLVED","Done",IF(CustomerTable[[#This Row],[Status]]="CLOSED","DONE",IF(CustomerTable[[#This Row],[Status]]="DEFERRED","Done","Pending")))</f>
        <v>Done</v>
      </c>
      <c r="H274" s="2" t="s">
        <v>1032</v>
      </c>
      <c r="I274" s="2" t="s">
        <v>391</v>
      </c>
      <c r="J274" s="2" t="s">
        <v>1303</v>
      </c>
      <c r="K274" s="16">
        <v>45992</v>
      </c>
      <c r="M274" s="16"/>
    </row>
    <row r="275" spans="1:13" x14ac:dyDescent="0.4">
      <c r="A275" s="2" t="s">
        <v>275</v>
      </c>
      <c r="B275" s="2">
        <f>VALUE(REPLACE(CustomerTable[[#This Row],[Ticket]],1,3,""))</f>
        <v>536</v>
      </c>
      <c r="C275" s="2" t="s">
        <v>1023</v>
      </c>
      <c r="D275" s="2" t="s">
        <v>2285</v>
      </c>
      <c r="F275" s="2" t="s">
        <v>398</v>
      </c>
      <c r="G275" s="2" t="str">
        <f>IF(CustomerTable[[#This Row],[Status]]="RESOLVED","Done",IF(CustomerTable[[#This Row],[Status]]="CLOSED","DONE",IF(CustomerTable[[#This Row],[Status]]="DEFERRED","Done","Pending")))</f>
        <v>Done</v>
      </c>
      <c r="H275" s="2" t="s">
        <v>1025</v>
      </c>
      <c r="I275" s="2" t="s">
        <v>389</v>
      </c>
      <c r="J275" s="2" t="s">
        <v>1304</v>
      </c>
      <c r="K275" s="16">
        <v>45992</v>
      </c>
      <c r="M275" s="16"/>
    </row>
    <row r="276" spans="1:13" x14ac:dyDescent="0.4">
      <c r="A276" s="2" t="s">
        <v>276</v>
      </c>
      <c r="B276" s="2">
        <f>VALUE(REPLACE(CustomerTable[[#This Row],[Ticket]],1,3,""))</f>
        <v>537</v>
      </c>
      <c r="C276" s="2" t="s">
        <v>1023</v>
      </c>
      <c r="D276" s="2" t="s">
        <v>2286</v>
      </c>
      <c r="F276" s="2" t="s">
        <v>398</v>
      </c>
      <c r="G276" s="2" t="str">
        <f>IF(CustomerTable[[#This Row],[Status]]="RESOLVED","Done",IF(CustomerTable[[#This Row],[Status]]="CLOSED","DONE",IF(CustomerTable[[#This Row],[Status]]="DEFERRED","Done","Pending")))</f>
        <v>Done</v>
      </c>
      <c r="H276" s="2" t="s">
        <v>1025</v>
      </c>
      <c r="I276" s="2" t="s">
        <v>391</v>
      </c>
      <c r="J276" s="2" t="s">
        <v>1305</v>
      </c>
      <c r="K276" s="16">
        <v>45993</v>
      </c>
      <c r="M276" s="16"/>
    </row>
    <row r="277" spans="1:13" x14ac:dyDescent="0.4">
      <c r="A277" s="2" t="s">
        <v>277</v>
      </c>
      <c r="B277" s="2">
        <f>VALUE(REPLACE(CustomerTable[[#This Row],[Ticket]],1,3,""))</f>
        <v>538</v>
      </c>
      <c r="C277" s="2" t="s">
        <v>1023</v>
      </c>
      <c r="D277" s="2" t="s">
        <v>2287</v>
      </c>
      <c r="E277" s="2" t="s">
        <v>400</v>
      </c>
      <c r="F277" s="2" t="s">
        <v>413</v>
      </c>
      <c r="G277" s="2" t="str">
        <f>IF(CustomerTable[[#This Row],[Status]]="RESOLVED","Done",IF(CustomerTable[[#This Row],[Status]]="CLOSED","DONE",IF(CustomerTable[[#This Row],[Status]]="DEFERRED","Done","Pending")))</f>
        <v>DONE</v>
      </c>
      <c r="H277" s="2" t="s">
        <v>1032</v>
      </c>
      <c r="I277" s="2" t="s">
        <v>394</v>
      </c>
      <c r="J277" s="2" t="s">
        <v>1306</v>
      </c>
      <c r="K277" s="16">
        <v>45994</v>
      </c>
      <c r="M277" s="16"/>
    </row>
    <row r="278" spans="1:13" x14ac:dyDescent="0.4">
      <c r="A278" s="2" t="s">
        <v>278</v>
      </c>
      <c r="B278" s="2">
        <f>VALUE(REPLACE(CustomerTable[[#This Row],[Ticket]],1,3,""))</f>
        <v>539</v>
      </c>
      <c r="C278" s="2" t="s">
        <v>1023</v>
      </c>
      <c r="D278" s="2" t="s">
        <v>2288</v>
      </c>
      <c r="E278" s="2" t="s">
        <v>405</v>
      </c>
      <c r="F278" s="2" t="s">
        <v>398</v>
      </c>
      <c r="G278" s="2" t="str">
        <f>IF(CustomerTable[[#This Row],[Status]]="RESOLVED","Done",IF(CustomerTable[[#This Row],[Status]]="CLOSED","DONE",IF(CustomerTable[[#This Row],[Status]]="DEFERRED","Done","Pending")))</f>
        <v>Done</v>
      </c>
      <c r="H278" s="2" t="s">
        <v>1032</v>
      </c>
      <c r="I278" s="2" t="s">
        <v>392</v>
      </c>
      <c r="J278" s="2" t="s">
        <v>1307</v>
      </c>
      <c r="K278" s="16">
        <v>45995</v>
      </c>
      <c r="M278" s="16">
        <v>46004</v>
      </c>
    </row>
    <row r="279" spans="1:13" x14ac:dyDescent="0.4">
      <c r="A279" s="2" t="s">
        <v>279</v>
      </c>
      <c r="B279" s="2">
        <f>VALUE(REPLACE(CustomerTable[[#This Row],[Ticket]],1,3,""))</f>
        <v>540</v>
      </c>
      <c r="C279" s="2" t="s">
        <v>1023</v>
      </c>
      <c r="D279" s="2" t="s">
        <v>2289</v>
      </c>
      <c r="E279" s="2" t="s">
        <v>405</v>
      </c>
      <c r="F279" s="2" t="s">
        <v>398</v>
      </c>
      <c r="G279" s="2" t="str">
        <f>IF(CustomerTable[[#This Row],[Status]]="RESOLVED","Done",IF(CustomerTable[[#This Row],[Status]]="CLOSED","DONE",IF(CustomerTable[[#This Row],[Status]]="DEFERRED","Done","Pending")))</f>
        <v>Done</v>
      </c>
      <c r="H279" s="2" t="s">
        <v>1032</v>
      </c>
      <c r="I279" s="2" t="s">
        <v>389</v>
      </c>
      <c r="J279" s="2" t="s">
        <v>1308</v>
      </c>
      <c r="K279" s="16">
        <v>45995</v>
      </c>
      <c r="M279" s="16">
        <v>46000</v>
      </c>
    </row>
    <row r="280" spans="1:13" x14ac:dyDescent="0.4">
      <c r="A280" s="2" t="s">
        <v>280</v>
      </c>
      <c r="B280" s="2">
        <f>VALUE(REPLACE(CustomerTable[[#This Row],[Ticket]],1,3,""))</f>
        <v>541</v>
      </c>
      <c r="C280" s="2" t="s">
        <v>1023</v>
      </c>
      <c r="D280" s="2" t="s">
        <v>2290</v>
      </c>
      <c r="E280" s="2" t="s">
        <v>405</v>
      </c>
      <c r="F280" s="2" t="s">
        <v>398</v>
      </c>
      <c r="G280" s="2" t="str">
        <f>IF(CustomerTable[[#This Row],[Status]]="RESOLVED","Done",IF(CustomerTable[[#This Row],[Status]]="CLOSED","DONE",IF(CustomerTable[[#This Row],[Status]]="DEFERRED","Done","Pending")))</f>
        <v>Done</v>
      </c>
      <c r="H280" s="2" t="s">
        <v>1028</v>
      </c>
      <c r="I280" s="2" t="s">
        <v>389</v>
      </c>
      <c r="J280" s="2" t="s">
        <v>1309</v>
      </c>
      <c r="K280" s="16">
        <v>45995</v>
      </c>
      <c r="M280" s="16">
        <v>46097</v>
      </c>
    </row>
    <row r="281" spans="1:13" x14ac:dyDescent="0.4">
      <c r="A281" s="2" t="s">
        <v>281</v>
      </c>
      <c r="B281" s="2">
        <f>VALUE(REPLACE(CustomerTable[[#This Row],[Ticket]],1,3,""))</f>
        <v>542</v>
      </c>
      <c r="C281" s="2" t="s">
        <v>1023</v>
      </c>
      <c r="D281" s="2" t="s">
        <v>2291</v>
      </c>
      <c r="F281" s="2" t="s">
        <v>398</v>
      </c>
      <c r="G281" s="2" t="str">
        <f>IF(CustomerTable[[#This Row],[Status]]="RESOLVED","Done",IF(CustomerTable[[#This Row],[Status]]="CLOSED","DONE",IF(CustomerTable[[#This Row],[Status]]="DEFERRED","Done","Pending")))</f>
        <v>Done</v>
      </c>
      <c r="H281" s="2" t="s">
        <v>1032</v>
      </c>
      <c r="I281" s="2" t="s">
        <v>389</v>
      </c>
      <c r="J281" s="2" t="s">
        <v>1310</v>
      </c>
      <c r="K281" s="16">
        <v>45995</v>
      </c>
      <c r="M281" s="16"/>
    </row>
    <row r="282" spans="1:13" x14ac:dyDescent="0.4">
      <c r="A282" s="2" t="s">
        <v>282</v>
      </c>
      <c r="B282" s="2">
        <f>VALUE(REPLACE(CustomerTable[[#This Row],[Ticket]],1,3,""))</f>
        <v>543</v>
      </c>
      <c r="C282" s="2" t="s">
        <v>1023</v>
      </c>
      <c r="D282" s="2" t="s">
        <v>2292</v>
      </c>
      <c r="E282" s="2" t="s">
        <v>405</v>
      </c>
      <c r="F282" s="2" t="s">
        <v>398</v>
      </c>
      <c r="G282" s="2" t="str">
        <f>IF(CustomerTable[[#This Row],[Status]]="RESOLVED","Done",IF(CustomerTable[[#This Row],[Status]]="CLOSED","DONE",IF(CustomerTable[[#This Row],[Status]]="DEFERRED","Done","Pending")))</f>
        <v>Done</v>
      </c>
      <c r="H282" s="2" t="s">
        <v>1028</v>
      </c>
      <c r="I282" s="2" t="s">
        <v>392</v>
      </c>
      <c r="J282" s="2" t="s">
        <v>1311</v>
      </c>
      <c r="K282" s="16">
        <v>45995</v>
      </c>
      <c r="M282" s="16">
        <v>46094</v>
      </c>
    </row>
    <row r="283" spans="1:13" x14ac:dyDescent="0.4">
      <c r="A283" s="2" t="s">
        <v>283</v>
      </c>
      <c r="B283" s="2">
        <f>VALUE(REPLACE(CustomerTable[[#This Row],[Ticket]],1,3,""))</f>
        <v>544</v>
      </c>
      <c r="C283" s="2" t="s">
        <v>1023</v>
      </c>
      <c r="D283" s="2" t="s">
        <v>2293</v>
      </c>
      <c r="F283" s="2" t="s">
        <v>398</v>
      </c>
      <c r="G283" s="2" t="str">
        <f>IF(CustomerTable[[#This Row],[Status]]="RESOLVED","Done",IF(CustomerTable[[#This Row],[Status]]="CLOSED","DONE",IF(CustomerTable[[#This Row],[Status]]="DEFERRED","Done","Pending")))</f>
        <v>Done</v>
      </c>
      <c r="H283" s="2" t="s">
        <v>1032</v>
      </c>
      <c r="I283" s="2" t="s">
        <v>389</v>
      </c>
      <c r="J283" s="2" t="s">
        <v>1312</v>
      </c>
      <c r="K283" s="16">
        <v>45995</v>
      </c>
      <c r="M283" s="16"/>
    </row>
    <row r="284" spans="1:13" x14ac:dyDescent="0.4">
      <c r="A284" s="2" t="s">
        <v>284</v>
      </c>
      <c r="B284" s="2">
        <f>VALUE(REPLACE(CustomerTable[[#This Row],[Ticket]],1,3,""))</f>
        <v>545</v>
      </c>
      <c r="C284" s="2" t="s">
        <v>1023</v>
      </c>
      <c r="D284" s="2" t="s">
        <v>2294</v>
      </c>
      <c r="F284" s="2" t="s">
        <v>398</v>
      </c>
      <c r="G284" s="2" t="str">
        <f>IF(CustomerTable[[#This Row],[Status]]="RESOLVED","Done",IF(CustomerTable[[#This Row],[Status]]="CLOSED","DONE",IF(CustomerTable[[#This Row],[Status]]="DEFERRED","Done","Pending")))</f>
        <v>Done</v>
      </c>
      <c r="H284" s="2" t="s">
        <v>1032</v>
      </c>
      <c r="I284" s="2" t="s">
        <v>389</v>
      </c>
      <c r="J284" s="2" t="s">
        <v>1313</v>
      </c>
      <c r="K284" s="16">
        <v>45996</v>
      </c>
      <c r="M284" s="16"/>
    </row>
    <row r="285" spans="1:13" x14ac:dyDescent="0.4">
      <c r="A285" s="2" t="s">
        <v>285</v>
      </c>
      <c r="B285" s="2">
        <f>VALUE(REPLACE(CustomerTable[[#This Row],[Ticket]],1,3,""))</f>
        <v>546</v>
      </c>
      <c r="C285" s="2" t="s">
        <v>1023</v>
      </c>
      <c r="D285" s="2" t="s">
        <v>2295</v>
      </c>
      <c r="E285" s="2" t="s">
        <v>405</v>
      </c>
      <c r="F285" s="2" t="s">
        <v>413</v>
      </c>
      <c r="G285" s="2" t="str">
        <f>IF(CustomerTable[[#This Row],[Status]]="RESOLVED","Done",IF(CustomerTable[[#This Row],[Status]]="CLOSED","DONE",IF(CustomerTable[[#This Row],[Status]]="DEFERRED","Done","Pending")))</f>
        <v>DONE</v>
      </c>
      <c r="H285" s="2" t="s">
        <v>11</v>
      </c>
      <c r="I285" s="2" t="s">
        <v>390</v>
      </c>
      <c r="J285" s="2" t="s">
        <v>1314</v>
      </c>
      <c r="K285" s="16">
        <v>45999</v>
      </c>
      <c r="M285" s="16"/>
    </row>
    <row r="286" spans="1:13" x14ac:dyDescent="0.4">
      <c r="A286" s="2" t="s">
        <v>286</v>
      </c>
      <c r="B286" s="2">
        <f>VALUE(REPLACE(CustomerTable[[#This Row],[Ticket]],1,3,""))</f>
        <v>547</v>
      </c>
      <c r="C286" s="2" t="s">
        <v>1023</v>
      </c>
      <c r="D286" s="2" t="s">
        <v>2296</v>
      </c>
      <c r="F286" s="2" t="s">
        <v>398</v>
      </c>
      <c r="G286" s="2" t="str">
        <f>IF(CustomerTable[[#This Row],[Status]]="RESOLVED","Done",IF(CustomerTable[[#This Row],[Status]]="CLOSED","DONE",IF(CustomerTable[[#This Row],[Status]]="DEFERRED","Done","Pending")))</f>
        <v>Done</v>
      </c>
      <c r="I286" s="2" t="s">
        <v>392</v>
      </c>
      <c r="J286" s="2" t="s">
        <v>1315</v>
      </c>
      <c r="K286" s="16">
        <v>45999</v>
      </c>
      <c r="M286" s="16"/>
    </row>
    <row r="287" spans="1:13" x14ac:dyDescent="0.4">
      <c r="A287" s="2" t="s">
        <v>287</v>
      </c>
      <c r="B287" s="2">
        <f>VALUE(REPLACE(CustomerTable[[#This Row],[Ticket]],1,3,""))</f>
        <v>548</v>
      </c>
      <c r="C287" s="2" t="s">
        <v>1023</v>
      </c>
      <c r="D287" s="2" t="s">
        <v>2297</v>
      </c>
      <c r="E287" s="2" t="s">
        <v>405</v>
      </c>
      <c r="F287" s="2" t="s">
        <v>398</v>
      </c>
      <c r="G287" s="2" t="str">
        <f>IF(CustomerTable[[#This Row],[Status]]="RESOLVED","Done",IF(CustomerTable[[#This Row],[Status]]="CLOSED","DONE",IF(CustomerTable[[#This Row],[Status]]="DEFERRED","Done","Pending")))</f>
        <v>Done</v>
      </c>
      <c r="H287" s="2" t="s">
        <v>1032</v>
      </c>
      <c r="I287" s="2" t="s">
        <v>395</v>
      </c>
      <c r="J287" s="2" t="s">
        <v>1316</v>
      </c>
      <c r="K287" s="16">
        <v>45999</v>
      </c>
      <c r="M287" s="16">
        <v>46009</v>
      </c>
    </row>
    <row r="288" spans="1:13" x14ac:dyDescent="0.4">
      <c r="A288" s="2" t="s">
        <v>288</v>
      </c>
      <c r="B288" s="2">
        <f>VALUE(REPLACE(CustomerTable[[#This Row],[Ticket]],1,3,""))</f>
        <v>549</v>
      </c>
      <c r="C288" s="2" t="s">
        <v>1023</v>
      </c>
      <c r="D288" s="2" t="s">
        <v>2298</v>
      </c>
      <c r="F288" s="2" t="s">
        <v>398</v>
      </c>
      <c r="G288" s="2" t="str">
        <f>IF(CustomerTable[[#This Row],[Status]]="RESOLVED","Done",IF(CustomerTable[[#This Row],[Status]]="CLOSED","DONE",IF(CustomerTable[[#This Row],[Status]]="DEFERRED","Done","Pending")))</f>
        <v>Done</v>
      </c>
      <c r="H288" s="2" t="s">
        <v>11</v>
      </c>
      <c r="I288" s="2" t="s">
        <v>392</v>
      </c>
      <c r="J288" s="2" t="s">
        <v>1317</v>
      </c>
      <c r="K288" s="16">
        <v>45999</v>
      </c>
      <c r="M288" s="16"/>
    </row>
    <row r="289" spans="1:13" x14ac:dyDescent="0.4">
      <c r="A289" s="2" t="s">
        <v>289</v>
      </c>
      <c r="B289" s="2">
        <f>VALUE(REPLACE(CustomerTable[[#This Row],[Ticket]],1,3,""))</f>
        <v>550</v>
      </c>
      <c r="C289" s="2" t="s">
        <v>1023</v>
      </c>
      <c r="D289" s="2" t="s">
        <v>2299</v>
      </c>
      <c r="E289" s="2" t="s">
        <v>405</v>
      </c>
      <c r="F289" s="2" t="s">
        <v>398</v>
      </c>
      <c r="G289" s="2" t="str">
        <f>IF(CustomerTable[[#This Row],[Status]]="RESOLVED","Done",IF(CustomerTable[[#This Row],[Status]]="CLOSED","DONE",IF(CustomerTable[[#This Row],[Status]]="DEFERRED","Done","Pending")))</f>
        <v>Done</v>
      </c>
      <c r="H289" s="2" t="s">
        <v>1028</v>
      </c>
      <c r="I289" s="2" t="s">
        <v>393</v>
      </c>
      <c r="J289" s="2" t="s">
        <v>1318</v>
      </c>
      <c r="K289" s="16">
        <v>45999</v>
      </c>
      <c r="M289" s="16">
        <v>46105</v>
      </c>
    </row>
    <row r="290" spans="1:13" x14ac:dyDescent="0.4">
      <c r="A290" s="2" t="s">
        <v>290</v>
      </c>
      <c r="B290" s="2">
        <f>VALUE(REPLACE(CustomerTable[[#This Row],[Ticket]],1,3,""))</f>
        <v>551</v>
      </c>
      <c r="C290" s="2" t="s">
        <v>1023</v>
      </c>
      <c r="D290" s="2" t="s">
        <v>2300</v>
      </c>
      <c r="F290" s="2" t="s">
        <v>398</v>
      </c>
      <c r="G290" s="2" t="str">
        <f>IF(CustomerTable[[#This Row],[Status]]="RESOLVED","Done",IF(CustomerTable[[#This Row],[Status]]="CLOSED","DONE",IF(CustomerTable[[#This Row],[Status]]="DEFERRED","Done","Pending")))</f>
        <v>Done</v>
      </c>
      <c r="H290" s="2" t="s">
        <v>11</v>
      </c>
      <c r="I290" s="2" t="s">
        <v>391</v>
      </c>
      <c r="J290" s="2" t="s">
        <v>1319</v>
      </c>
      <c r="K290" s="16">
        <v>45999</v>
      </c>
      <c r="M290" s="16"/>
    </row>
    <row r="291" spans="1:13" x14ac:dyDescent="0.4">
      <c r="A291" s="2" t="s">
        <v>291</v>
      </c>
      <c r="B291" s="2">
        <f>VALUE(REPLACE(CustomerTable[[#This Row],[Ticket]],1,3,""))</f>
        <v>552</v>
      </c>
      <c r="C291" s="2" t="s">
        <v>1023</v>
      </c>
      <c r="D291" s="2" t="s">
        <v>2301</v>
      </c>
      <c r="F291" s="2" t="s">
        <v>398</v>
      </c>
      <c r="G291" s="2" t="str">
        <f>IF(CustomerTable[[#This Row],[Status]]="RESOLVED","Done",IF(CustomerTable[[#This Row],[Status]]="CLOSED","DONE",IF(CustomerTable[[#This Row],[Status]]="DEFERRED","Done","Pending")))</f>
        <v>Done</v>
      </c>
      <c r="I291" s="2" t="s">
        <v>389</v>
      </c>
      <c r="J291" s="2" t="s">
        <v>1320</v>
      </c>
      <c r="K291" s="16">
        <v>45999</v>
      </c>
      <c r="M291" s="16"/>
    </row>
    <row r="292" spans="1:13" x14ac:dyDescent="0.4">
      <c r="A292" s="2" t="s">
        <v>292</v>
      </c>
      <c r="B292" s="2">
        <f>VALUE(REPLACE(CustomerTable[[#This Row],[Ticket]],1,3,""))</f>
        <v>553</v>
      </c>
      <c r="C292" s="2" t="s">
        <v>1023</v>
      </c>
      <c r="D292" s="2" t="s">
        <v>2302</v>
      </c>
      <c r="E292" s="2" t="s">
        <v>405</v>
      </c>
      <c r="F292" s="2" t="s">
        <v>398</v>
      </c>
      <c r="G292" s="2" t="str">
        <f>IF(CustomerTable[[#This Row],[Status]]="RESOLVED","Done",IF(CustomerTable[[#This Row],[Status]]="CLOSED","DONE",IF(CustomerTable[[#This Row],[Status]]="DEFERRED","Done","Pending")))</f>
        <v>Done</v>
      </c>
      <c r="H292" s="2" t="s">
        <v>1028</v>
      </c>
      <c r="I292" s="2" t="s">
        <v>389</v>
      </c>
      <c r="J292" s="2" t="s">
        <v>1321</v>
      </c>
      <c r="K292" s="16">
        <v>45999</v>
      </c>
      <c r="M292" s="16">
        <v>46093</v>
      </c>
    </row>
    <row r="293" spans="1:13" x14ac:dyDescent="0.4">
      <c r="A293" s="2" t="s">
        <v>293</v>
      </c>
      <c r="B293" s="2">
        <f>VALUE(REPLACE(CustomerTable[[#This Row],[Ticket]],1,3,""))</f>
        <v>554</v>
      </c>
      <c r="C293" s="2" t="s">
        <v>1023</v>
      </c>
      <c r="D293" s="2" t="s">
        <v>2303</v>
      </c>
      <c r="F293" s="2" t="s">
        <v>398</v>
      </c>
      <c r="G293" s="2" t="str">
        <f>IF(CustomerTable[[#This Row],[Status]]="RESOLVED","Done",IF(CustomerTable[[#This Row],[Status]]="CLOSED","DONE",IF(CustomerTable[[#This Row],[Status]]="DEFERRED","Done","Pending")))</f>
        <v>Done</v>
      </c>
      <c r="H293" s="2" t="s">
        <v>11</v>
      </c>
      <c r="I293" s="2" t="s">
        <v>388</v>
      </c>
      <c r="J293" s="2" t="s">
        <v>1322</v>
      </c>
      <c r="K293" s="16">
        <v>45999</v>
      </c>
      <c r="M293" s="16"/>
    </row>
    <row r="294" spans="1:13" x14ac:dyDescent="0.4">
      <c r="A294" s="2" t="s">
        <v>294</v>
      </c>
      <c r="B294" s="2">
        <f>VALUE(REPLACE(CustomerTable[[#This Row],[Ticket]],1,3,""))</f>
        <v>555</v>
      </c>
      <c r="C294" s="2" t="s">
        <v>1023</v>
      </c>
      <c r="D294" s="2" t="s">
        <v>2304</v>
      </c>
      <c r="E294" s="2" t="s">
        <v>405</v>
      </c>
      <c r="F294" s="2" t="s">
        <v>398</v>
      </c>
      <c r="G294" s="2" t="str">
        <f>IF(CustomerTable[[#This Row],[Status]]="RESOLVED","Done",IF(CustomerTable[[#This Row],[Status]]="CLOSED","DONE",IF(CustomerTable[[#This Row],[Status]]="DEFERRED","Done","Pending")))</f>
        <v>Done</v>
      </c>
      <c r="H294" s="2" t="s">
        <v>1028</v>
      </c>
      <c r="I294" s="2" t="s">
        <v>392</v>
      </c>
      <c r="J294" s="2" t="s">
        <v>1323</v>
      </c>
      <c r="K294" s="16">
        <v>45999</v>
      </c>
      <c r="M294" s="16">
        <v>46126</v>
      </c>
    </row>
    <row r="295" spans="1:13" x14ac:dyDescent="0.4">
      <c r="A295" s="2" t="s">
        <v>295</v>
      </c>
      <c r="B295" s="2">
        <f>VALUE(REPLACE(CustomerTable[[#This Row],[Ticket]],1,3,""))</f>
        <v>556</v>
      </c>
      <c r="C295" s="2" t="s">
        <v>1023</v>
      </c>
      <c r="D295" s="2" t="s">
        <v>2305</v>
      </c>
      <c r="E295" s="2" t="s">
        <v>405</v>
      </c>
      <c r="F295" s="2" t="s">
        <v>398</v>
      </c>
      <c r="G295" s="2" t="str">
        <f>IF(CustomerTable[[#This Row],[Status]]="RESOLVED","Done",IF(CustomerTable[[#This Row],[Status]]="CLOSED","DONE",IF(CustomerTable[[#This Row],[Status]]="DEFERRED","Done","Pending")))</f>
        <v>Done</v>
      </c>
      <c r="H295" s="2" t="s">
        <v>1025</v>
      </c>
      <c r="I295" s="2" t="s">
        <v>389</v>
      </c>
      <c r="J295" s="2" t="s">
        <v>1324</v>
      </c>
      <c r="K295" s="16">
        <v>45999</v>
      </c>
      <c r="M295" s="16">
        <v>46013</v>
      </c>
    </row>
    <row r="296" spans="1:13" x14ac:dyDescent="0.4">
      <c r="A296" s="2" t="s">
        <v>296</v>
      </c>
      <c r="B296" s="2">
        <f>VALUE(REPLACE(CustomerTable[[#This Row],[Ticket]],1,3,""))</f>
        <v>557</v>
      </c>
      <c r="C296" s="2" t="s">
        <v>1023</v>
      </c>
      <c r="D296" s="2" t="s">
        <v>2306</v>
      </c>
      <c r="E296" s="2" t="s">
        <v>405</v>
      </c>
      <c r="F296" s="2" t="s">
        <v>398</v>
      </c>
      <c r="G296" s="2" t="str">
        <f>IF(CustomerTable[[#This Row],[Status]]="RESOLVED","Done",IF(CustomerTable[[#This Row],[Status]]="CLOSED","DONE",IF(CustomerTable[[#This Row],[Status]]="DEFERRED","Done","Pending")))</f>
        <v>Done</v>
      </c>
      <c r="H296" s="2" t="s">
        <v>1032</v>
      </c>
      <c r="I296" s="2" t="s">
        <v>389</v>
      </c>
      <c r="J296" s="2" t="s">
        <v>1325</v>
      </c>
      <c r="K296" s="16">
        <v>46001</v>
      </c>
      <c r="M296" s="16">
        <v>46020</v>
      </c>
    </row>
    <row r="297" spans="1:13" x14ac:dyDescent="0.4">
      <c r="A297" s="2" t="s">
        <v>297</v>
      </c>
      <c r="B297" s="2">
        <f>VALUE(REPLACE(CustomerTable[[#This Row],[Ticket]],1,3,""))</f>
        <v>558</v>
      </c>
      <c r="C297" s="2" t="s">
        <v>1023</v>
      </c>
      <c r="D297" s="2" t="s">
        <v>2307</v>
      </c>
      <c r="E297" s="2" t="s">
        <v>405</v>
      </c>
      <c r="F297" s="2" t="s">
        <v>398</v>
      </c>
      <c r="G297" s="2" t="str">
        <f>IF(CustomerTable[[#This Row],[Status]]="RESOLVED","Done",IF(CustomerTable[[#This Row],[Status]]="CLOSED","DONE",IF(CustomerTable[[#This Row],[Status]]="DEFERRED","Done","Pending")))</f>
        <v>Done</v>
      </c>
      <c r="H297" s="2" t="s">
        <v>1032</v>
      </c>
      <c r="I297" s="2" t="s">
        <v>389</v>
      </c>
      <c r="J297" s="2" t="s">
        <v>1326</v>
      </c>
      <c r="K297" s="16">
        <v>46001</v>
      </c>
      <c r="M297" s="16"/>
    </row>
    <row r="298" spans="1:13" x14ac:dyDescent="0.4">
      <c r="A298" s="2" t="s">
        <v>298</v>
      </c>
      <c r="B298" s="2">
        <f>VALUE(REPLACE(CustomerTable[[#This Row],[Ticket]],1,3,""))</f>
        <v>559</v>
      </c>
      <c r="C298" s="2" t="s">
        <v>1023</v>
      </c>
      <c r="D298" s="2" t="s">
        <v>2308</v>
      </c>
      <c r="E298" s="2" t="s">
        <v>405</v>
      </c>
      <c r="F298" s="2" t="s">
        <v>398</v>
      </c>
      <c r="G298" s="2" t="str">
        <f>IF(CustomerTable[[#This Row],[Status]]="RESOLVED","Done",IF(CustomerTable[[#This Row],[Status]]="CLOSED","DONE",IF(CustomerTable[[#This Row],[Status]]="DEFERRED","Done","Pending")))</f>
        <v>Done</v>
      </c>
      <c r="H298" s="2" t="s">
        <v>1032</v>
      </c>
      <c r="I298" s="2" t="s">
        <v>393</v>
      </c>
      <c r="J298" s="2" t="s">
        <v>1327</v>
      </c>
      <c r="K298" s="16">
        <v>46001</v>
      </c>
      <c r="M298" s="16">
        <v>46009</v>
      </c>
    </row>
    <row r="299" spans="1:13" x14ac:dyDescent="0.4">
      <c r="A299" s="2" t="s">
        <v>299</v>
      </c>
      <c r="B299" s="2">
        <f>VALUE(REPLACE(CustomerTable[[#This Row],[Ticket]],1,3,""))</f>
        <v>560</v>
      </c>
      <c r="C299" s="2" t="s">
        <v>1023</v>
      </c>
      <c r="D299" s="2" t="s">
        <v>2309</v>
      </c>
      <c r="E299" s="2" t="s">
        <v>405</v>
      </c>
      <c r="F299" s="2" t="s">
        <v>398</v>
      </c>
      <c r="G299" s="2" t="str">
        <f>IF(CustomerTable[[#This Row],[Status]]="RESOLVED","Done",IF(CustomerTable[[#This Row],[Status]]="CLOSED","DONE",IF(CustomerTable[[#This Row],[Status]]="DEFERRED","Done","Pending")))</f>
        <v>Done</v>
      </c>
      <c r="H299" s="2" t="s">
        <v>1032</v>
      </c>
      <c r="I299" s="2" t="s">
        <v>392</v>
      </c>
      <c r="J299" s="2" t="s">
        <v>1328</v>
      </c>
      <c r="K299" s="16">
        <v>46001</v>
      </c>
      <c r="M299" s="16">
        <v>46003</v>
      </c>
    </row>
    <row r="300" spans="1:13" x14ac:dyDescent="0.4">
      <c r="A300" s="2" t="s">
        <v>300</v>
      </c>
      <c r="B300" s="2">
        <f>VALUE(REPLACE(CustomerTable[[#This Row],[Ticket]],1,3,""))</f>
        <v>561</v>
      </c>
      <c r="C300" s="2" t="s">
        <v>1023</v>
      </c>
      <c r="D300" s="2" t="s">
        <v>2310</v>
      </c>
      <c r="F300" s="2" t="s">
        <v>398</v>
      </c>
      <c r="G300" s="2" t="str">
        <f>IF(CustomerTable[[#This Row],[Status]]="RESOLVED","Done",IF(CustomerTable[[#This Row],[Status]]="CLOSED","DONE",IF(CustomerTable[[#This Row],[Status]]="DEFERRED","Done","Pending")))</f>
        <v>Done</v>
      </c>
      <c r="H300" s="2" t="s">
        <v>11</v>
      </c>
      <c r="I300" s="2" t="s">
        <v>393</v>
      </c>
      <c r="J300" s="2" t="s">
        <v>1329</v>
      </c>
      <c r="K300" s="16">
        <v>46002</v>
      </c>
      <c r="M300" s="16"/>
    </row>
    <row r="301" spans="1:13" x14ac:dyDescent="0.4">
      <c r="A301" s="2" t="s">
        <v>301</v>
      </c>
      <c r="B301" s="2">
        <f>VALUE(REPLACE(CustomerTable[[#This Row],[Ticket]],1,3,""))</f>
        <v>562</v>
      </c>
      <c r="C301" s="2" t="s">
        <v>1023</v>
      </c>
      <c r="D301" s="2" t="s">
        <v>2311</v>
      </c>
      <c r="F301" s="2" t="s">
        <v>398</v>
      </c>
      <c r="G301" s="2" t="str">
        <f>IF(CustomerTable[[#This Row],[Status]]="RESOLVED","Done",IF(CustomerTable[[#This Row],[Status]]="CLOSED","DONE",IF(CustomerTable[[#This Row],[Status]]="DEFERRED","Done","Pending")))</f>
        <v>Done</v>
      </c>
      <c r="H301" s="2" t="s">
        <v>1025</v>
      </c>
      <c r="I301" s="2" t="s">
        <v>389</v>
      </c>
      <c r="J301" s="2" t="s">
        <v>1330</v>
      </c>
      <c r="K301" s="16">
        <v>46002</v>
      </c>
      <c r="M301" s="16"/>
    </row>
    <row r="302" spans="1:13" x14ac:dyDescent="0.4">
      <c r="A302" s="2" t="s">
        <v>302</v>
      </c>
      <c r="B302" s="2">
        <f>VALUE(REPLACE(CustomerTable[[#This Row],[Ticket]],1,3,""))</f>
        <v>563</v>
      </c>
      <c r="C302" s="2" t="s">
        <v>1024</v>
      </c>
      <c r="D302" s="2" t="s">
        <v>2312</v>
      </c>
      <c r="F302" s="2" t="s">
        <v>398</v>
      </c>
      <c r="G302" s="2" t="str">
        <f>IF(CustomerTable[[#This Row],[Status]]="RESOLVED","Done",IF(CustomerTable[[#This Row],[Status]]="CLOSED","DONE",IF(CustomerTable[[#This Row],[Status]]="DEFERRED","Done","Pending")))</f>
        <v>Done</v>
      </c>
      <c r="H302" s="2" t="s">
        <v>11</v>
      </c>
      <c r="I302" s="2" t="s">
        <v>388</v>
      </c>
      <c r="J302" s="2" t="s">
        <v>1331</v>
      </c>
      <c r="K302" s="16">
        <v>46002</v>
      </c>
      <c r="M302" s="16">
        <v>46003</v>
      </c>
    </row>
    <row r="303" spans="1:13" x14ac:dyDescent="0.4">
      <c r="A303" s="2" t="s">
        <v>303</v>
      </c>
      <c r="B303" s="2">
        <f>VALUE(REPLACE(CustomerTable[[#This Row],[Ticket]],1,3,""))</f>
        <v>564</v>
      </c>
      <c r="C303" s="2" t="s">
        <v>1023</v>
      </c>
      <c r="D303" s="2" t="s">
        <v>2313</v>
      </c>
      <c r="F303" s="2" t="s">
        <v>398</v>
      </c>
      <c r="G303" s="2" t="str">
        <f>IF(CustomerTable[[#This Row],[Status]]="RESOLVED","Done",IF(CustomerTable[[#This Row],[Status]]="CLOSED","DONE",IF(CustomerTable[[#This Row],[Status]]="DEFERRED","Done","Pending")))</f>
        <v>Done</v>
      </c>
      <c r="H303" s="2" t="s">
        <v>11</v>
      </c>
      <c r="I303" s="2" t="s">
        <v>393</v>
      </c>
      <c r="J303" s="2" t="s">
        <v>1332</v>
      </c>
      <c r="K303" s="16">
        <v>46002</v>
      </c>
      <c r="M303" s="16"/>
    </row>
    <row r="304" spans="1:13" x14ac:dyDescent="0.4">
      <c r="A304" s="2" t="s">
        <v>304</v>
      </c>
      <c r="B304" s="2">
        <f>VALUE(REPLACE(CustomerTable[[#This Row],[Ticket]],1,3,""))</f>
        <v>565</v>
      </c>
      <c r="C304" s="2" t="s">
        <v>1024</v>
      </c>
      <c r="D304" s="2" t="s">
        <v>2314</v>
      </c>
      <c r="E304" s="2" t="s">
        <v>405</v>
      </c>
      <c r="F304" s="2" t="s">
        <v>413</v>
      </c>
      <c r="G304" s="2" t="str">
        <f>IF(CustomerTable[[#This Row],[Status]]="RESOLVED","Done",IF(CustomerTable[[#This Row],[Status]]="CLOSED","DONE",IF(CustomerTable[[#This Row],[Status]]="DEFERRED","Done","Pending")))</f>
        <v>DONE</v>
      </c>
      <c r="H304" s="2" t="s">
        <v>11</v>
      </c>
      <c r="I304" s="2" t="s">
        <v>389</v>
      </c>
      <c r="J304" s="2" t="s">
        <v>1333</v>
      </c>
      <c r="K304" s="16">
        <v>46002</v>
      </c>
      <c r="M304" s="16"/>
    </row>
    <row r="305" spans="1:13" x14ac:dyDescent="0.4">
      <c r="A305" s="2" t="s">
        <v>305</v>
      </c>
      <c r="B305" s="2">
        <f>VALUE(REPLACE(CustomerTable[[#This Row],[Ticket]],1,3,""))</f>
        <v>566</v>
      </c>
      <c r="C305" s="2" t="s">
        <v>1024</v>
      </c>
      <c r="D305" s="2" t="s">
        <v>2315</v>
      </c>
      <c r="E305" s="2" t="s">
        <v>405</v>
      </c>
      <c r="F305" s="2" t="s">
        <v>398</v>
      </c>
      <c r="G305" s="2" t="str">
        <f>IF(CustomerTable[[#This Row],[Status]]="RESOLVED","Done",IF(CustomerTable[[#This Row],[Status]]="CLOSED","DONE",IF(CustomerTable[[#This Row],[Status]]="DEFERRED","Done","Pending")))</f>
        <v>Done</v>
      </c>
      <c r="H305" s="2" t="s">
        <v>1032</v>
      </c>
      <c r="I305" s="2" t="s">
        <v>390</v>
      </c>
      <c r="J305" s="2" t="s">
        <v>1334</v>
      </c>
      <c r="K305" s="16">
        <v>46002</v>
      </c>
      <c r="M305" s="16">
        <v>46020</v>
      </c>
    </row>
    <row r="306" spans="1:13" x14ac:dyDescent="0.4">
      <c r="A306" s="2" t="s">
        <v>306</v>
      </c>
      <c r="B306" s="2">
        <f>VALUE(REPLACE(CustomerTable[[#This Row],[Ticket]],1,3,""))</f>
        <v>567</v>
      </c>
      <c r="C306" s="2" t="s">
        <v>1023</v>
      </c>
      <c r="D306" s="2" t="s">
        <v>2316</v>
      </c>
      <c r="E306" s="2" t="s">
        <v>405</v>
      </c>
      <c r="F306" s="2" t="s">
        <v>413</v>
      </c>
      <c r="G306" s="2" t="str">
        <f>IF(CustomerTable[[#This Row],[Status]]="RESOLVED","Done",IF(CustomerTable[[#This Row],[Status]]="CLOSED","DONE",IF(CustomerTable[[#This Row],[Status]]="DEFERRED","Done","Pending")))</f>
        <v>DONE</v>
      </c>
      <c r="H306" s="2" t="s">
        <v>1025</v>
      </c>
      <c r="I306" s="2" t="s">
        <v>389</v>
      </c>
      <c r="J306" s="2" t="s">
        <v>1335</v>
      </c>
      <c r="K306" s="16">
        <v>46006</v>
      </c>
      <c r="M306" s="16">
        <v>46009</v>
      </c>
    </row>
    <row r="307" spans="1:13" x14ac:dyDescent="0.4">
      <c r="A307" s="2" t="s">
        <v>307</v>
      </c>
      <c r="B307" s="2">
        <f>VALUE(REPLACE(CustomerTable[[#This Row],[Ticket]],1,3,""))</f>
        <v>568</v>
      </c>
      <c r="C307" s="2" t="s">
        <v>1023</v>
      </c>
      <c r="D307" s="2" t="s">
        <v>2317</v>
      </c>
      <c r="F307" s="2" t="s">
        <v>398</v>
      </c>
      <c r="G307" s="2" t="str">
        <f>IF(CustomerTable[[#This Row],[Status]]="RESOLVED","Done",IF(CustomerTable[[#This Row],[Status]]="CLOSED","DONE",IF(CustomerTable[[#This Row],[Status]]="DEFERRED","Done","Pending")))</f>
        <v>Done</v>
      </c>
      <c r="H307" s="2" t="s">
        <v>1032</v>
      </c>
      <c r="I307" s="2" t="s">
        <v>389</v>
      </c>
      <c r="J307" s="2" t="s">
        <v>1336</v>
      </c>
      <c r="K307" s="16">
        <v>46006</v>
      </c>
      <c r="M307" s="16"/>
    </row>
    <row r="308" spans="1:13" x14ac:dyDescent="0.4">
      <c r="A308" s="2" t="s">
        <v>308</v>
      </c>
      <c r="B308" s="2">
        <f>VALUE(REPLACE(CustomerTable[[#This Row],[Ticket]],1,3,""))</f>
        <v>569</v>
      </c>
      <c r="C308" s="2" t="s">
        <v>1023</v>
      </c>
      <c r="D308" s="2" t="s">
        <v>2318</v>
      </c>
      <c r="E308" s="2" t="s">
        <v>405</v>
      </c>
      <c r="F308" s="2" t="s">
        <v>398</v>
      </c>
      <c r="G308" s="2" t="str">
        <f>IF(CustomerTable[[#This Row],[Status]]="RESOLVED","Done",IF(CustomerTable[[#This Row],[Status]]="CLOSED","DONE",IF(CustomerTable[[#This Row],[Status]]="DEFERRED","Done","Pending")))</f>
        <v>Done</v>
      </c>
      <c r="H308" s="2" t="s">
        <v>1025</v>
      </c>
      <c r="I308" s="2" t="s">
        <v>389</v>
      </c>
      <c r="J308" s="2" t="s">
        <v>1337</v>
      </c>
      <c r="K308" s="16">
        <v>46006</v>
      </c>
      <c r="M308" s="16">
        <v>46009</v>
      </c>
    </row>
    <row r="309" spans="1:13" x14ac:dyDescent="0.4">
      <c r="A309" s="2" t="s">
        <v>309</v>
      </c>
      <c r="B309" s="2">
        <f>VALUE(REPLACE(CustomerTable[[#This Row],[Ticket]],1,3,""))</f>
        <v>570</v>
      </c>
      <c r="C309" s="2" t="s">
        <v>1023</v>
      </c>
      <c r="D309" s="2" t="s">
        <v>2319</v>
      </c>
      <c r="F309" s="2" t="s">
        <v>398</v>
      </c>
      <c r="G309" s="2" t="str">
        <f>IF(CustomerTable[[#This Row],[Status]]="RESOLVED","Done",IF(CustomerTable[[#This Row],[Status]]="CLOSED","DONE",IF(CustomerTable[[#This Row],[Status]]="DEFERRED","Done","Pending")))</f>
        <v>Done</v>
      </c>
      <c r="H309" s="2" t="s">
        <v>11</v>
      </c>
      <c r="I309" s="2" t="s">
        <v>391</v>
      </c>
      <c r="J309" s="2" t="s">
        <v>1338</v>
      </c>
      <c r="K309" s="16">
        <v>46006</v>
      </c>
      <c r="M309" s="16"/>
    </row>
    <row r="310" spans="1:13" x14ac:dyDescent="0.4">
      <c r="A310" s="2" t="s">
        <v>310</v>
      </c>
      <c r="B310" s="2">
        <f>VALUE(REPLACE(CustomerTable[[#This Row],[Ticket]],1,3,""))</f>
        <v>571</v>
      </c>
      <c r="C310" s="2" t="s">
        <v>1023</v>
      </c>
      <c r="D310" s="2" t="s">
        <v>2320</v>
      </c>
      <c r="E310" s="2" t="s">
        <v>405</v>
      </c>
      <c r="F310" s="2" t="s">
        <v>398</v>
      </c>
      <c r="G310" s="2" t="str">
        <f>IF(CustomerTable[[#This Row],[Status]]="RESOLVED","Done",IF(CustomerTable[[#This Row],[Status]]="CLOSED","DONE",IF(CustomerTable[[#This Row],[Status]]="DEFERRED","Done","Pending")))</f>
        <v>Done</v>
      </c>
      <c r="H310" s="2" t="s">
        <v>11</v>
      </c>
      <c r="I310" s="2" t="s">
        <v>390</v>
      </c>
      <c r="J310" s="2" t="s">
        <v>1339</v>
      </c>
      <c r="K310" s="16">
        <v>46006</v>
      </c>
      <c r="M310" s="16">
        <v>46007</v>
      </c>
    </row>
    <row r="311" spans="1:13" x14ac:dyDescent="0.4">
      <c r="A311" s="2" t="s">
        <v>311</v>
      </c>
      <c r="B311" s="2">
        <f>VALUE(REPLACE(CustomerTable[[#This Row],[Ticket]],1,3,""))</f>
        <v>572</v>
      </c>
      <c r="C311" s="2" t="s">
        <v>1023</v>
      </c>
      <c r="D311" s="2" t="s">
        <v>2321</v>
      </c>
      <c r="E311" s="2" t="s">
        <v>405</v>
      </c>
      <c r="F311" s="2" t="s">
        <v>398</v>
      </c>
      <c r="G311" s="2" t="str">
        <f>IF(CustomerTable[[#This Row],[Status]]="RESOLVED","Done",IF(CustomerTable[[#This Row],[Status]]="CLOSED","DONE",IF(CustomerTable[[#This Row],[Status]]="DEFERRED","Done","Pending")))</f>
        <v>Done</v>
      </c>
      <c r="H311" s="2" t="s">
        <v>1032</v>
      </c>
      <c r="I311" s="2" t="s">
        <v>392</v>
      </c>
      <c r="J311" s="2" t="s">
        <v>1340</v>
      </c>
      <c r="K311" s="16">
        <v>46006</v>
      </c>
      <c r="M311" s="16">
        <v>46027</v>
      </c>
    </row>
    <row r="312" spans="1:13" x14ac:dyDescent="0.4">
      <c r="A312" s="2" t="s">
        <v>312</v>
      </c>
      <c r="B312" s="2">
        <f>VALUE(REPLACE(CustomerTable[[#This Row],[Ticket]],1,3,""))</f>
        <v>573</v>
      </c>
      <c r="C312" s="2" t="s">
        <v>1023</v>
      </c>
      <c r="D312" s="2" t="s">
        <v>2322</v>
      </c>
      <c r="F312" s="2" t="s">
        <v>398</v>
      </c>
      <c r="G312" s="2" t="str">
        <f>IF(CustomerTable[[#This Row],[Status]]="RESOLVED","Done",IF(CustomerTable[[#This Row],[Status]]="CLOSED","DONE",IF(CustomerTable[[#This Row],[Status]]="DEFERRED","Done","Pending")))</f>
        <v>Done</v>
      </c>
      <c r="H312" s="2" t="s">
        <v>1032</v>
      </c>
      <c r="I312" s="2" t="s">
        <v>389</v>
      </c>
      <c r="J312" s="2" t="s">
        <v>1341</v>
      </c>
      <c r="K312" s="16">
        <v>46006</v>
      </c>
      <c r="M312" s="16"/>
    </row>
    <row r="313" spans="1:13" x14ac:dyDescent="0.4">
      <c r="A313" s="2" t="s">
        <v>313</v>
      </c>
      <c r="B313" s="2">
        <f>VALUE(REPLACE(CustomerTable[[#This Row],[Ticket]],1,3,""))</f>
        <v>574</v>
      </c>
      <c r="C313" s="2" t="s">
        <v>1023</v>
      </c>
      <c r="D313" s="2" t="s">
        <v>2323</v>
      </c>
      <c r="E313" s="2" t="s">
        <v>405</v>
      </c>
      <c r="F313" s="2" t="s">
        <v>398</v>
      </c>
      <c r="G313" s="2" t="str">
        <f>IF(CustomerTable[[#This Row],[Status]]="RESOLVED","Done",IF(CustomerTable[[#This Row],[Status]]="CLOSED","DONE",IF(CustomerTable[[#This Row],[Status]]="DEFERRED","Done","Pending")))</f>
        <v>Done</v>
      </c>
      <c r="H313" s="2" t="s">
        <v>1032</v>
      </c>
      <c r="I313" s="2" t="s">
        <v>390</v>
      </c>
      <c r="J313" s="2" t="s">
        <v>1342</v>
      </c>
      <c r="K313" s="16">
        <v>46006</v>
      </c>
      <c r="M313" s="16">
        <v>46101</v>
      </c>
    </row>
    <row r="314" spans="1:13" x14ac:dyDescent="0.4">
      <c r="A314" s="2" t="s">
        <v>314</v>
      </c>
      <c r="B314" s="2">
        <f>VALUE(REPLACE(CustomerTable[[#This Row],[Ticket]],1,3,""))</f>
        <v>575</v>
      </c>
      <c r="C314" s="2" t="s">
        <v>1023</v>
      </c>
      <c r="D314" s="2" t="s">
        <v>2324</v>
      </c>
      <c r="E314" s="2" t="s">
        <v>405</v>
      </c>
      <c r="F314" s="2" t="s">
        <v>398</v>
      </c>
      <c r="G314" s="2" t="str">
        <f>IF(CustomerTable[[#This Row],[Status]]="RESOLVED","Done",IF(CustomerTable[[#This Row],[Status]]="CLOSED","DONE",IF(CustomerTable[[#This Row],[Status]]="DEFERRED","Done","Pending")))</f>
        <v>Done</v>
      </c>
      <c r="H314" s="2" t="s">
        <v>1032</v>
      </c>
      <c r="I314" s="2" t="s">
        <v>389</v>
      </c>
      <c r="J314" s="2" t="s">
        <v>1343</v>
      </c>
      <c r="K314" s="16">
        <v>46007</v>
      </c>
      <c r="M314" s="16">
        <v>46085</v>
      </c>
    </row>
    <row r="315" spans="1:13" x14ac:dyDescent="0.4">
      <c r="A315" s="2" t="s">
        <v>315</v>
      </c>
      <c r="B315" s="2">
        <f>VALUE(REPLACE(CustomerTable[[#This Row],[Ticket]],1,3,""))</f>
        <v>576</v>
      </c>
      <c r="C315" s="2" t="s">
        <v>1023</v>
      </c>
      <c r="D315" s="2" t="s">
        <v>2325</v>
      </c>
      <c r="E315" s="2" t="s">
        <v>405</v>
      </c>
      <c r="F315" s="2" t="s">
        <v>398</v>
      </c>
      <c r="G315" s="2" t="str">
        <f>IF(CustomerTable[[#This Row],[Status]]="RESOLVED","Done",IF(CustomerTable[[#This Row],[Status]]="CLOSED","DONE",IF(CustomerTable[[#This Row],[Status]]="DEFERRED","Done","Pending")))</f>
        <v>Done</v>
      </c>
      <c r="H315" s="2" t="s">
        <v>11</v>
      </c>
      <c r="I315" s="2" t="s">
        <v>390</v>
      </c>
      <c r="J315" s="2" t="s">
        <v>1344</v>
      </c>
      <c r="K315" s="16">
        <v>46007</v>
      </c>
      <c r="M315" s="16">
        <v>46008</v>
      </c>
    </row>
    <row r="316" spans="1:13" x14ac:dyDescent="0.4">
      <c r="A316" s="2" t="s">
        <v>316</v>
      </c>
      <c r="B316" s="2">
        <f>VALUE(REPLACE(CustomerTable[[#This Row],[Ticket]],1,3,""))</f>
        <v>577</v>
      </c>
      <c r="C316" s="2" t="s">
        <v>1023</v>
      </c>
      <c r="D316" s="2" t="s">
        <v>2326</v>
      </c>
      <c r="E316" s="2" t="s">
        <v>405</v>
      </c>
      <c r="F316" s="2" t="s">
        <v>413</v>
      </c>
      <c r="G316" s="2" t="str">
        <f>IF(CustomerTable[[#This Row],[Status]]="RESOLVED","Done",IF(CustomerTable[[#This Row],[Status]]="CLOSED","DONE",IF(CustomerTable[[#This Row],[Status]]="DEFERRED","Done","Pending")))</f>
        <v>DONE</v>
      </c>
      <c r="H316" s="2" t="s">
        <v>1032</v>
      </c>
      <c r="I316" s="2" t="s">
        <v>392</v>
      </c>
      <c r="J316" s="2" t="s">
        <v>1345</v>
      </c>
      <c r="K316" s="16">
        <v>46007</v>
      </c>
      <c r="M316" s="16">
        <v>46064</v>
      </c>
    </row>
    <row r="317" spans="1:13" x14ac:dyDescent="0.4">
      <c r="A317" s="2" t="s">
        <v>317</v>
      </c>
      <c r="B317" s="2">
        <f>VALUE(REPLACE(CustomerTable[[#This Row],[Ticket]],1,3,""))</f>
        <v>578</v>
      </c>
      <c r="C317" s="2" t="s">
        <v>1024</v>
      </c>
      <c r="D317" s="2" t="s">
        <v>2327</v>
      </c>
      <c r="E317" s="2" t="s">
        <v>405</v>
      </c>
      <c r="F317" s="2" t="s">
        <v>398</v>
      </c>
      <c r="G317" s="2" t="str">
        <f>IF(CustomerTable[[#This Row],[Status]]="RESOLVED","Done",IF(CustomerTable[[#This Row],[Status]]="CLOSED","DONE",IF(CustomerTable[[#This Row],[Status]]="DEFERRED","Done","Pending")))</f>
        <v>Done</v>
      </c>
      <c r="H317" s="2" t="s">
        <v>1032</v>
      </c>
      <c r="I317" s="2" t="s">
        <v>392</v>
      </c>
      <c r="J317" s="2" t="s">
        <v>1346</v>
      </c>
      <c r="K317" s="16">
        <v>46008</v>
      </c>
      <c r="M317" s="16">
        <v>46028</v>
      </c>
    </row>
    <row r="318" spans="1:13" x14ac:dyDescent="0.4">
      <c r="A318" s="2" t="s">
        <v>318</v>
      </c>
      <c r="B318" s="2">
        <f>VALUE(REPLACE(CustomerTable[[#This Row],[Ticket]],1,3,""))</f>
        <v>579</v>
      </c>
      <c r="C318" s="2" t="s">
        <v>1023</v>
      </c>
      <c r="D318" s="2" t="s">
        <v>2328</v>
      </c>
      <c r="F318" s="2" t="s">
        <v>398</v>
      </c>
      <c r="G318" s="2" t="str">
        <f>IF(CustomerTable[[#This Row],[Status]]="RESOLVED","Done",IF(CustomerTable[[#This Row],[Status]]="CLOSED","DONE",IF(CustomerTable[[#This Row],[Status]]="DEFERRED","Done","Pending")))</f>
        <v>Done</v>
      </c>
      <c r="H318" s="2" t="s">
        <v>1025</v>
      </c>
      <c r="I318" s="2" t="s">
        <v>388</v>
      </c>
      <c r="J318" s="2" t="s">
        <v>1347</v>
      </c>
      <c r="K318" s="16">
        <v>46008</v>
      </c>
      <c r="M318" s="16"/>
    </row>
    <row r="319" spans="1:13" x14ac:dyDescent="0.4">
      <c r="A319" s="2" t="s">
        <v>319</v>
      </c>
      <c r="B319" s="2">
        <f>VALUE(REPLACE(CustomerTable[[#This Row],[Ticket]],1,3,""))</f>
        <v>580</v>
      </c>
      <c r="C319" s="2" t="s">
        <v>1023</v>
      </c>
      <c r="D319" s="2" t="s">
        <v>2329</v>
      </c>
      <c r="E319" s="2" t="s">
        <v>405</v>
      </c>
      <c r="F319" s="2" t="s">
        <v>398</v>
      </c>
      <c r="G319" s="2" t="str">
        <f>IF(CustomerTable[[#This Row],[Status]]="RESOLVED","Done",IF(CustomerTable[[#This Row],[Status]]="CLOSED","DONE",IF(CustomerTable[[#This Row],[Status]]="DEFERRED","Done","Pending")))</f>
        <v>Done</v>
      </c>
      <c r="H319" s="2" t="s">
        <v>11</v>
      </c>
      <c r="I319" s="2" t="s">
        <v>393</v>
      </c>
      <c r="J319" s="2" t="s">
        <v>1348</v>
      </c>
      <c r="K319" s="16">
        <v>46008</v>
      </c>
      <c r="M319" s="16">
        <v>46008</v>
      </c>
    </row>
    <row r="320" spans="1:13" x14ac:dyDescent="0.4">
      <c r="A320" s="2" t="s">
        <v>320</v>
      </c>
      <c r="B320" s="2">
        <f>VALUE(REPLACE(CustomerTable[[#This Row],[Ticket]],1,3,""))</f>
        <v>581</v>
      </c>
      <c r="C320" s="2" t="s">
        <v>1023</v>
      </c>
      <c r="D320" s="2" t="s">
        <v>2330</v>
      </c>
      <c r="E320" s="2" t="s">
        <v>405</v>
      </c>
      <c r="F320" s="2" t="s">
        <v>398</v>
      </c>
      <c r="G320" s="2" t="str">
        <f>IF(CustomerTable[[#This Row],[Status]]="RESOLVED","Done",IF(CustomerTable[[#This Row],[Status]]="CLOSED","DONE",IF(CustomerTable[[#This Row],[Status]]="DEFERRED","Done","Pending")))</f>
        <v>Done</v>
      </c>
      <c r="H320" s="2" t="s">
        <v>11</v>
      </c>
      <c r="I320" s="2" t="s">
        <v>393</v>
      </c>
      <c r="J320" s="2" t="s">
        <v>1349</v>
      </c>
      <c r="K320" s="16">
        <v>46008</v>
      </c>
      <c r="M320" s="16">
        <v>46008</v>
      </c>
    </row>
    <row r="321" spans="1:13" x14ac:dyDescent="0.4">
      <c r="A321" s="2" t="s">
        <v>321</v>
      </c>
      <c r="B321" s="2">
        <f>VALUE(REPLACE(CustomerTable[[#This Row],[Ticket]],1,3,""))</f>
        <v>582</v>
      </c>
      <c r="C321" s="2" t="s">
        <v>1023</v>
      </c>
      <c r="D321" s="2" t="s">
        <v>2331</v>
      </c>
      <c r="F321" s="2" t="s">
        <v>398</v>
      </c>
      <c r="G321" s="2" t="str">
        <f>IF(CustomerTable[[#This Row],[Status]]="RESOLVED","Done",IF(CustomerTable[[#This Row],[Status]]="CLOSED","DONE",IF(CustomerTable[[#This Row],[Status]]="DEFERRED","Done","Pending")))</f>
        <v>Done</v>
      </c>
      <c r="H321" s="2" t="s">
        <v>11</v>
      </c>
      <c r="I321" s="2" t="s">
        <v>390</v>
      </c>
      <c r="J321" s="2" t="s">
        <v>1350</v>
      </c>
      <c r="K321" s="16">
        <v>46010</v>
      </c>
      <c r="M321" s="16"/>
    </row>
    <row r="322" spans="1:13" x14ac:dyDescent="0.4">
      <c r="A322" s="2" t="s">
        <v>322</v>
      </c>
      <c r="B322" s="2">
        <f>VALUE(REPLACE(CustomerTable[[#This Row],[Ticket]],1,3,""))</f>
        <v>583</v>
      </c>
      <c r="C322" s="2" t="s">
        <v>1023</v>
      </c>
      <c r="D322" s="2" t="s">
        <v>2332</v>
      </c>
      <c r="E322" s="2" t="s">
        <v>405</v>
      </c>
      <c r="F322" s="2" t="s">
        <v>398</v>
      </c>
      <c r="G322" s="2" t="str">
        <f>IF(CustomerTable[[#This Row],[Status]]="RESOLVED","Done",IF(CustomerTable[[#This Row],[Status]]="CLOSED","DONE",IF(CustomerTable[[#This Row],[Status]]="DEFERRED","Done","Pending")))</f>
        <v>Done</v>
      </c>
      <c r="H322" s="2" t="s">
        <v>1032</v>
      </c>
      <c r="I322" s="2" t="s">
        <v>392</v>
      </c>
      <c r="J322" s="2" t="s">
        <v>1351</v>
      </c>
      <c r="K322" s="16">
        <v>46010</v>
      </c>
      <c r="M322" s="16">
        <v>46022</v>
      </c>
    </row>
    <row r="323" spans="1:13" x14ac:dyDescent="0.4">
      <c r="A323" s="2" t="s">
        <v>323</v>
      </c>
      <c r="B323" s="2">
        <f>VALUE(REPLACE(CustomerTable[[#This Row],[Ticket]],1,3,""))</f>
        <v>584</v>
      </c>
      <c r="C323" s="2" t="s">
        <v>1023</v>
      </c>
      <c r="D323" s="2" t="s">
        <v>2333</v>
      </c>
      <c r="F323" s="2" t="s">
        <v>398</v>
      </c>
      <c r="G323" s="2" t="str">
        <f>IF(CustomerTable[[#This Row],[Status]]="RESOLVED","Done",IF(CustomerTable[[#This Row],[Status]]="CLOSED","DONE",IF(CustomerTable[[#This Row],[Status]]="DEFERRED","Done","Pending")))</f>
        <v>Done</v>
      </c>
      <c r="H323" s="2" t="s">
        <v>11</v>
      </c>
      <c r="I323" s="2" t="s">
        <v>389</v>
      </c>
      <c r="J323" s="2" t="s">
        <v>1352</v>
      </c>
      <c r="K323" s="16">
        <v>46010</v>
      </c>
      <c r="M323" s="16"/>
    </row>
    <row r="324" spans="1:13" x14ac:dyDescent="0.4">
      <c r="A324" s="2" t="s">
        <v>324</v>
      </c>
      <c r="B324" s="2">
        <f>VALUE(REPLACE(CustomerTable[[#This Row],[Ticket]],1,3,""))</f>
        <v>585</v>
      </c>
      <c r="C324" s="2" t="s">
        <v>1023</v>
      </c>
      <c r="D324" s="2" t="s">
        <v>2334</v>
      </c>
      <c r="F324" s="2" t="s">
        <v>398</v>
      </c>
      <c r="G324" s="2" t="str">
        <f>IF(CustomerTable[[#This Row],[Status]]="RESOLVED","Done",IF(CustomerTable[[#This Row],[Status]]="CLOSED","DONE",IF(CustomerTable[[#This Row],[Status]]="DEFERRED","Done","Pending")))</f>
        <v>Done</v>
      </c>
      <c r="H324" s="2" t="s">
        <v>1025</v>
      </c>
      <c r="I324" s="2" t="s">
        <v>391</v>
      </c>
      <c r="J324" s="2" t="s">
        <v>1353</v>
      </c>
      <c r="K324" s="16">
        <v>46010</v>
      </c>
      <c r="M324" s="16"/>
    </row>
    <row r="325" spans="1:13" x14ac:dyDescent="0.4">
      <c r="A325" s="2" t="s">
        <v>325</v>
      </c>
      <c r="B325" s="2">
        <f>VALUE(REPLACE(CustomerTable[[#This Row],[Ticket]],1,3,""))</f>
        <v>586</v>
      </c>
      <c r="C325" s="2" t="s">
        <v>1023</v>
      </c>
      <c r="D325" s="2" t="s">
        <v>2335</v>
      </c>
      <c r="F325" s="2" t="s">
        <v>398</v>
      </c>
      <c r="G325" s="2" t="str">
        <f>IF(CustomerTable[[#This Row],[Status]]="RESOLVED","Done",IF(CustomerTable[[#This Row],[Status]]="CLOSED","DONE",IF(CustomerTable[[#This Row],[Status]]="DEFERRED","Done","Pending")))</f>
        <v>Done</v>
      </c>
      <c r="H325" s="2" t="s">
        <v>1025</v>
      </c>
      <c r="I325" s="2" t="s">
        <v>393</v>
      </c>
      <c r="J325" s="2" t="s">
        <v>1354</v>
      </c>
      <c r="K325" s="16">
        <v>46010</v>
      </c>
      <c r="M325" s="16">
        <v>46021</v>
      </c>
    </row>
    <row r="326" spans="1:13" x14ac:dyDescent="0.4">
      <c r="A326" s="2" t="s">
        <v>326</v>
      </c>
      <c r="B326" s="2">
        <f>VALUE(REPLACE(CustomerTable[[#This Row],[Ticket]],1,3,""))</f>
        <v>587</v>
      </c>
      <c r="C326" s="2" t="s">
        <v>1023</v>
      </c>
      <c r="D326" s="2" t="s">
        <v>2336</v>
      </c>
      <c r="F326" s="2" t="s">
        <v>398</v>
      </c>
      <c r="G326" s="2" t="str">
        <f>IF(CustomerTable[[#This Row],[Status]]="RESOLVED","Done",IF(CustomerTable[[#This Row],[Status]]="CLOSED","DONE",IF(CustomerTable[[#This Row],[Status]]="DEFERRED","Done","Pending")))</f>
        <v>Done</v>
      </c>
      <c r="I326" s="2" t="s">
        <v>393</v>
      </c>
      <c r="J326" s="2" t="s">
        <v>1355</v>
      </c>
      <c r="K326" s="16">
        <v>46010</v>
      </c>
      <c r="M326" s="16"/>
    </row>
    <row r="327" spans="1:13" x14ac:dyDescent="0.4">
      <c r="A327" s="2" t="s">
        <v>327</v>
      </c>
      <c r="B327" s="2">
        <f>VALUE(REPLACE(CustomerTable[[#This Row],[Ticket]],1,3,""))</f>
        <v>588</v>
      </c>
      <c r="C327" s="2" t="s">
        <v>1023</v>
      </c>
      <c r="D327" s="2" t="s">
        <v>2337</v>
      </c>
      <c r="E327" s="2" t="s">
        <v>405</v>
      </c>
      <c r="F327" s="2" t="s">
        <v>398</v>
      </c>
      <c r="G327" s="2" t="str">
        <f>IF(CustomerTable[[#This Row],[Status]]="RESOLVED","Done",IF(CustomerTable[[#This Row],[Status]]="CLOSED","DONE",IF(CustomerTable[[#This Row],[Status]]="DEFERRED","Done","Pending")))</f>
        <v>Done</v>
      </c>
      <c r="H327" s="2" t="s">
        <v>11</v>
      </c>
      <c r="I327" s="2" t="s">
        <v>389</v>
      </c>
      <c r="J327" s="2" t="s">
        <v>1356</v>
      </c>
      <c r="K327" s="16">
        <v>46010</v>
      </c>
      <c r="M327" s="16">
        <v>46014</v>
      </c>
    </row>
    <row r="328" spans="1:13" x14ac:dyDescent="0.4">
      <c r="A328" s="2" t="s">
        <v>328</v>
      </c>
      <c r="B328" s="2">
        <f>VALUE(REPLACE(CustomerTable[[#This Row],[Ticket]],1,3,""))</f>
        <v>589</v>
      </c>
      <c r="C328" s="2" t="s">
        <v>1023</v>
      </c>
      <c r="D328" s="2" t="s">
        <v>2338</v>
      </c>
      <c r="E328" s="2" t="s">
        <v>405</v>
      </c>
      <c r="F328" s="2" t="s">
        <v>398</v>
      </c>
      <c r="G328" s="2" t="str">
        <f>IF(CustomerTable[[#This Row],[Status]]="RESOLVED","Done",IF(CustomerTable[[#This Row],[Status]]="CLOSED","DONE",IF(CustomerTable[[#This Row],[Status]]="DEFERRED","Done","Pending")))</f>
        <v>Done</v>
      </c>
      <c r="H328" s="2" t="s">
        <v>1032</v>
      </c>
      <c r="I328" s="2" t="s">
        <v>392</v>
      </c>
      <c r="J328" s="2" t="s">
        <v>1357</v>
      </c>
      <c r="K328" s="16">
        <v>46010</v>
      </c>
      <c r="M328" s="16">
        <v>46037</v>
      </c>
    </row>
    <row r="329" spans="1:13" x14ac:dyDescent="0.4">
      <c r="A329" s="2" t="s">
        <v>329</v>
      </c>
      <c r="B329" s="2">
        <f>VALUE(REPLACE(CustomerTable[[#This Row],[Ticket]],1,3,""))</f>
        <v>590</v>
      </c>
      <c r="C329" s="2" t="s">
        <v>1023</v>
      </c>
      <c r="D329" s="2" t="s">
        <v>2339</v>
      </c>
      <c r="E329" s="2" t="s">
        <v>405</v>
      </c>
      <c r="F329" s="2" t="s">
        <v>398</v>
      </c>
      <c r="G329" s="2" t="str">
        <f>IF(CustomerTable[[#This Row],[Status]]="RESOLVED","Done",IF(CustomerTable[[#This Row],[Status]]="CLOSED","DONE",IF(CustomerTable[[#This Row],[Status]]="DEFERRED","Done","Pending")))</f>
        <v>Done</v>
      </c>
      <c r="H329" s="2" t="s">
        <v>11</v>
      </c>
      <c r="I329" s="2" t="s">
        <v>390</v>
      </c>
      <c r="J329" s="2" t="s">
        <v>1358</v>
      </c>
      <c r="K329" s="16">
        <v>46013</v>
      </c>
      <c r="M329" s="16">
        <v>46013</v>
      </c>
    </row>
    <row r="330" spans="1:13" x14ac:dyDescent="0.4">
      <c r="A330" s="2" t="s">
        <v>330</v>
      </c>
      <c r="B330" s="2">
        <f>VALUE(REPLACE(CustomerTable[[#This Row],[Ticket]],1,3,""))</f>
        <v>591</v>
      </c>
      <c r="C330" s="2" t="s">
        <v>1024</v>
      </c>
      <c r="D330" s="2" t="s">
        <v>2340</v>
      </c>
      <c r="E330" s="2" t="s">
        <v>405</v>
      </c>
      <c r="F330" s="2" t="s">
        <v>398</v>
      </c>
      <c r="G330" s="2" t="str">
        <f>IF(CustomerTable[[#This Row],[Status]]="RESOLVED","Done",IF(CustomerTable[[#This Row],[Status]]="CLOSED","DONE",IF(CustomerTable[[#This Row],[Status]]="DEFERRED","Done","Pending")))</f>
        <v>Done</v>
      </c>
      <c r="H330" s="2" t="s">
        <v>1029</v>
      </c>
      <c r="I330" s="2" t="s">
        <v>391</v>
      </c>
      <c r="J330" s="2" t="s">
        <v>1359</v>
      </c>
      <c r="K330" s="16">
        <v>46016</v>
      </c>
      <c r="M330" s="16">
        <v>46126</v>
      </c>
    </row>
    <row r="331" spans="1:13" x14ac:dyDescent="0.4">
      <c r="A331" s="2" t="s">
        <v>331</v>
      </c>
      <c r="B331" s="2">
        <f>VALUE(REPLACE(CustomerTable[[#This Row],[Ticket]],1,3,""))</f>
        <v>592</v>
      </c>
      <c r="C331" s="2" t="s">
        <v>1024</v>
      </c>
      <c r="D331" s="2" t="s">
        <v>2341</v>
      </c>
      <c r="E331" s="2" t="s">
        <v>399</v>
      </c>
      <c r="F331" s="2" t="s">
        <v>413</v>
      </c>
      <c r="G331" s="2" t="str">
        <f>IF(CustomerTable[[#This Row],[Status]]="RESOLVED","Done",IF(CustomerTable[[#This Row],[Status]]="CLOSED","DONE",IF(CustomerTable[[#This Row],[Status]]="DEFERRED","Done","Pending")))</f>
        <v>DONE</v>
      </c>
      <c r="H331" s="2" t="s">
        <v>11</v>
      </c>
      <c r="I331" s="2" t="s">
        <v>393</v>
      </c>
      <c r="J331" s="2" t="s">
        <v>1360</v>
      </c>
      <c r="K331" s="16">
        <v>46016</v>
      </c>
      <c r="M331" s="16"/>
    </row>
    <row r="332" spans="1:13" x14ac:dyDescent="0.4">
      <c r="A332" s="2" t="s">
        <v>332</v>
      </c>
      <c r="B332" s="2">
        <f>VALUE(REPLACE(CustomerTable[[#This Row],[Ticket]],1,3,""))</f>
        <v>593</v>
      </c>
      <c r="C332" s="2" t="s">
        <v>1023</v>
      </c>
      <c r="D332" s="2" t="s">
        <v>2342</v>
      </c>
      <c r="E332" s="2" t="s">
        <v>405</v>
      </c>
      <c r="F332" s="2" t="s">
        <v>398</v>
      </c>
      <c r="G332" s="2" t="str">
        <f>IF(CustomerTable[[#This Row],[Status]]="RESOLVED","Done",IF(CustomerTable[[#This Row],[Status]]="CLOSED","DONE",IF(CustomerTable[[#This Row],[Status]]="DEFERRED","Done","Pending")))</f>
        <v>Done</v>
      </c>
      <c r="H332" s="2" t="s">
        <v>1032</v>
      </c>
      <c r="I332" s="2" t="s">
        <v>389</v>
      </c>
      <c r="J332" s="2" t="s">
        <v>1361</v>
      </c>
      <c r="K332" s="16">
        <v>46016</v>
      </c>
      <c r="M332" s="16">
        <v>46016</v>
      </c>
    </row>
    <row r="333" spans="1:13" x14ac:dyDescent="0.4">
      <c r="A333" s="2" t="s">
        <v>333</v>
      </c>
      <c r="B333" s="2">
        <f>VALUE(REPLACE(CustomerTable[[#This Row],[Ticket]],1,3,""))</f>
        <v>594</v>
      </c>
      <c r="C333" s="2" t="s">
        <v>1023</v>
      </c>
      <c r="D333" s="2" t="s">
        <v>2343</v>
      </c>
      <c r="F333" s="2" t="s">
        <v>398</v>
      </c>
      <c r="G333" s="2" t="str">
        <f>IF(CustomerTable[[#This Row],[Status]]="RESOLVED","Done",IF(CustomerTable[[#This Row],[Status]]="CLOSED","DONE",IF(CustomerTable[[#This Row],[Status]]="DEFERRED","Done","Pending")))</f>
        <v>Done</v>
      </c>
      <c r="H333" s="2" t="s">
        <v>1025</v>
      </c>
      <c r="I333" s="2" t="s">
        <v>391</v>
      </c>
      <c r="J333" s="2" t="s">
        <v>1362</v>
      </c>
      <c r="K333" s="16">
        <v>46017</v>
      </c>
      <c r="M333" s="16"/>
    </row>
    <row r="334" spans="1:13" x14ac:dyDescent="0.4">
      <c r="A334" s="2" t="s">
        <v>334</v>
      </c>
      <c r="B334" s="2">
        <f>VALUE(REPLACE(CustomerTable[[#This Row],[Ticket]],1,3,""))</f>
        <v>595</v>
      </c>
      <c r="C334" s="2" t="s">
        <v>1023</v>
      </c>
      <c r="D334" s="2" t="s">
        <v>2344</v>
      </c>
      <c r="F334" s="2" t="s">
        <v>398</v>
      </c>
      <c r="G334" s="2" t="str">
        <f>IF(CustomerTable[[#This Row],[Status]]="RESOLVED","Done",IF(CustomerTable[[#This Row],[Status]]="CLOSED","DONE",IF(CustomerTable[[#This Row],[Status]]="DEFERRED","Done","Pending")))</f>
        <v>Done</v>
      </c>
      <c r="H334" s="2" t="s">
        <v>11</v>
      </c>
      <c r="I334" s="2" t="s">
        <v>390</v>
      </c>
      <c r="J334" s="2" t="s">
        <v>1363</v>
      </c>
      <c r="K334" s="16">
        <v>46017</v>
      </c>
      <c r="M334" s="16"/>
    </row>
    <row r="335" spans="1:13" x14ac:dyDescent="0.4">
      <c r="A335" s="2" t="s">
        <v>335</v>
      </c>
      <c r="B335" s="2">
        <f>VALUE(REPLACE(CustomerTable[[#This Row],[Ticket]],1,3,""))</f>
        <v>596</v>
      </c>
      <c r="C335" s="2" t="s">
        <v>1023</v>
      </c>
      <c r="D335" s="2" t="s">
        <v>2345</v>
      </c>
      <c r="E335" s="2" t="s">
        <v>405</v>
      </c>
      <c r="F335" s="2" t="s">
        <v>398</v>
      </c>
      <c r="G335" s="2" t="str">
        <f>IF(CustomerTable[[#This Row],[Status]]="RESOLVED","Done",IF(CustomerTable[[#This Row],[Status]]="CLOSED","DONE",IF(CustomerTable[[#This Row],[Status]]="DEFERRED","Done","Pending")))</f>
        <v>Done</v>
      </c>
      <c r="H335" s="2" t="s">
        <v>1032</v>
      </c>
      <c r="I335" s="2" t="s">
        <v>389</v>
      </c>
      <c r="J335" s="2" t="s">
        <v>1364</v>
      </c>
      <c r="K335" s="16">
        <v>46017</v>
      </c>
      <c r="M335" s="16">
        <v>46039</v>
      </c>
    </row>
    <row r="336" spans="1:13" x14ac:dyDescent="0.4">
      <c r="A336" s="2" t="s">
        <v>336</v>
      </c>
      <c r="B336" s="2">
        <f>VALUE(REPLACE(CustomerTable[[#This Row],[Ticket]],1,3,""))</f>
        <v>597</v>
      </c>
      <c r="C336" s="2" t="s">
        <v>1023</v>
      </c>
      <c r="D336" s="2" t="s">
        <v>2346</v>
      </c>
      <c r="E336" s="2" t="s">
        <v>405</v>
      </c>
      <c r="F336" s="2" t="s">
        <v>398</v>
      </c>
      <c r="G336" s="2" t="str">
        <f>IF(CustomerTable[[#This Row],[Status]]="RESOLVED","Done",IF(CustomerTable[[#This Row],[Status]]="CLOSED","DONE",IF(CustomerTable[[#This Row],[Status]]="DEFERRED","Done","Pending")))</f>
        <v>Done</v>
      </c>
      <c r="H336" s="2" t="s">
        <v>1032</v>
      </c>
      <c r="I336" s="2" t="s">
        <v>392</v>
      </c>
      <c r="J336" s="2" t="s">
        <v>1365</v>
      </c>
      <c r="K336" s="16">
        <v>46017</v>
      </c>
      <c r="M336" s="16">
        <v>46020</v>
      </c>
    </row>
    <row r="337" spans="1:13" x14ac:dyDescent="0.4">
      <c r="A337" s="2" t="s">
        <v>337</v>
      </c>
      <c r="B337" s="2">
        <f>VALUE(REPLACE(CustomerTable[[#This Row],[Ticket]],1,3,""))</f>
        <v>598</v>
      </c>
      <c r="C337" s="2" t="s">
        <v>1023</v>
      </c>
      <c r="D337" s="2" t="s">
        <v>2347</v>
      </c>
      <c r="E337" s="2" t="s">
        <v>405</v>
      </c>
      <c r="F337" s="2" t="s">
        <v>398</v>
      </c>
      <c r="G337" s="2" t="str">
        <f>IF(CustomerTable[[#This Row],[Status]]="RESOLVED","Done",IF(CustomerTable[[#This Row],[Status]]="CLOSED","DONE",IF(CustomerTable[[#This Row],[Status]]="DEFERRED","Done","Pending")))</f>
        <v>Done</v>
      </c>
      <c r="H337" s="2" t="s">
        <v>11</v>
      </c>
      <c r="I337" s="2" t="s">
        <v>390</v>
      </c>
      <c r="J337" s="2" t="s">
        <v>1366</v>
      </c>
      <c r="K337" s="16">
        <v>46018</v>
      </c>
      <c r="M337" s="16">
        <v>46019</v>
      </c>
    </row>
    <row r="338" spans="1:13" x14ac:dyDescent="0.4">
      <c r="A338" s="2" t="s">
        <v>338</v>
      </c>
      <c r="B338" s="2">
        <f>VALUE(REPLACE(CustomerTable[[#This Row],[Ticket]],1,3,""))</f>
        <v>599</v>
      </c>
      <c r="C338" s="2" t="s">
        <v>1024</v>
      </c>
      <c r="D338" s="2" t="s">
        <v>2348</v>
      </c>
      <c r="E338" s="2" t="s">
        <v>400</v>
      </c>
      <c r="F338" s="2" t="s">
        <v>413</v>
      </c>
      <c r="G338" s="2" t="str">
        <f>IF(CustomerTable[[#This Row],[Status]]="RESOLVED","Done",IF(CustomerTable[[#This Row],[Status]]="CLOSED","DONE",IF(CustomerTable[[#This Row],[Status]]="DEFERRED","Done","Pending")))</f>
        <v>DONE</v>
      </c>
      <c r="H338" s="2" t="s">
        <v>1031</v>
      </c>
      <c r="I338" s="2" t="s">
        <v>388</v>
      </c>
      <c r="J338" s="2" t="s">
        <v>1367</v>
      </c>
      <c r="K338" s="16">
        <v>46019</v>
      </c>
      <c r="M338" s="16">
        <v>46019</v>
      </c>
    </row>
    <row r="339" spans="1:13" x14ac:dyDescent="0.4">
      <c r="A339" s="2" t="s">
        <v>339</v>
      </c>
      <c r="B339" s="2">
        <f>VALUE(REPLACE(CustomerTable[[#This Row],[Ticket]],1,3,""))</f>
        <v>600</v>
      </c>
      <c r="C339" s="2" t="s">
        <v>1023</v>
      </c>
      <c r="D339" s="2" t="s">
        <v>2349</v>
      </c>
      <c r="E339" s="2" t="s">
        <v>405</v>
      </c>
      <c r="F339" s="2" t="s">
        <v>398</v>
      </c>
      <c r="G339" s="2" t="str">
        <f>IF(CustomerTable[[#This Row],[Status]]="RESOLVED","Done",IF(CustomerTable[[#This Row],[Status]]="CLOSED","DONE",IF(CustomerTable[[#This Row],[Status]]="DEFERRED","Done","Pending")))</f>
        <v>Done</v>
      </c>
      <c r="H339" s="2" t="s">
        <v>1032</v>
      </c>
      <c r="I339" s="2" t="s">
        <v>389</v>
      </c>
      <c r="J339" s="2" t="s">
        <v>1368</v>
      </c>
      <c r="K339" s="16">
        <v>46022</v>
      </c>
      <c r="M339" s="16">
        <v>46052</v>
      </c>
    </row>
    <row r="340" spans="1:13" x14ac:dyDescent="0.4">
      <c r="A340" s="2" t="s">
        <v>340</v>
      </c>
      <c r="B340" s="2">
        <f>VALUE(REPLACE(CustomerTable[[#This Row],[Ticket]],1,3,""))</f>
        <v>601</v>
      </c>
      <c r="C340" s="2" t="s">
        <v>1023</v>
      </c>
      <c r="D340" s="2" t="s">
        <v>2350</v>
      </c>
      <c r="E340" s="2" t="s">
        <v>405</v>
      </c>
      <c r="F340" s="2" t="s">
        <v>398</v>
      </c>
      <c r="G340" s="2" t="str">
        <f>IF(CustomerTable[[#This Row],[Status]]="RESOLVED","Done",IF(CustomerTable[[#This Row],[Status]]="CLOSED","DONE",IF(CustomerTable[[#This Row],[Status]]="DEFERRED","Done","Pending")))</f>
        <v>Done</v>
      </c>
      <c r="H340" s="2" t="s">
        <v>11</v>
      </c>
      <c r="I340" s="2" t="s">
        <v>390</v>
      </c>
      <c r="J340" s="2" t="s">
        <v>1369</v>
      </c>
      <c r="K340" s="16">
        <v>46022</v>
      </c>
      <c r="M340" s="16">
        <v>46022</v>
      </c>
    </row>
    <row r="341" spans="1:13" x14ac:dyDescent="0.4">
      <c r="A341" s="2" t="s">
        <v>341</v>
      </c>
      <c r="B341" s="2">
        <f>VALUE(REPLACE(CustomerTable[[#This Row],[Ticket]],1,3,""))</f>
        <v>602</v>
      </c>
      <c r="C341" s="2" t="s">
        <v>1023</v>
      </c>
      <c r="D341" s="2" t="s">
        <v>2351</v>
      </c>
      <c r="E341" s="2" t="s">
        <v>400</v>
      </c>
      <c r="F341" s="2" t="s">
        <v>398</v>
      </c>
      <c r="G341" s="2" t="str">
        <f>IF(CustomerTable[[#This Row],[Status]]="RESOLVED","Done",IF(CustomerTable[[#This Row],[Status]]="CLOSED","DONE",IF(CustomerTable[[#This Row],[Status]]="DEFERRED","Done","Pending")))</f>
        <v>Done</v>
      </c>
      <c r="H341" s="2" t="s">
        <v>1032</v>
      </c>
      <c r="I341" s="2" t="s">
        <v>389</v>
      </c>
      <c r="J341" s="2" t="s">
        <v>1370</v>
      </c>
      <c r="K341" s="16">
        <v>46022</v>
      </c>
      <c r="M341" s="16">
        <v>46049</v>
      </c>
    </row>
    <row r="342" spans="1:13" x14ac:dyDescent="0.4">
      <c r="A342" s="2" t="s">
        <v>342</v>
      </c>
      <c r="B342" s="2">
        <f>VALUE(REPLACE(CustomerTable[[#This Row],[Ticket]],1,3,""))</f>
        <v>603</v>
      </c>
      <c r="C342" s="2" t="s">
        <v>1023</v>
      </c>
      <c r="D342" s="2" t="s">
        <v>2352</v>
      </c>
      <c r="E342" s="2" t="s">
        <v>405</v>
      </c>
      <c r="F342" s="2" t="s">
        <v>398</v>
      </c>
      <c r="G342" s="2" t="str">
        <f>IF(CustomerTable[[#This Row],[Status]]="RESOLVED","Done",IF(CustomerTable[[#This Row],[Status]]="CLOSED","DONE",IF(CustomerTable[[#This Row],[Status]]="DEFERRED","Done","Pending")))</f>
        <v>Done</v>
      </c>
      <c r="H342" s="2" t="s">
        <v>1032</v>
      </c>
      <c r="I342" s="2" t="s">
        <v>391</v>
      </c>
      <c r="J342" s="2" t="s">
        <v>1371</v>
      </c>
      <c r="K342" s="16">
        <v>46022</v>
      </c>
      <c r="M342" s="16">
        <v>46057</v>
      </c>
    </row>
    <row r="343" spans="1:13" x14ac:dyDescent="0.4">
      <c r="A343" s="2" t="s">
        <v>343</v>
      </c>
      <c r="B343" s="2">
        <f>VALUE(REPLACE(CustomerTable[[#This Row],[Ticket]],1,3,""))</f>
        <v>604</v>
      </c>
      <c r="C343" s="2" t="s">
        <v>1023</v>
      </c>
      <c r="D343" s="2" t="s">
        <v>2353</v>
      </c>
      <c r="F343" s="2" t="s">
        <v>398</v>
      </c>
      <c r="G343" s="2" t="str">
        <f>IF(CustomerTable[[#This Row],[Status]]="RESOLVED","Done",IF(CustomerTable[[#This Row],[Status]]="CLOSED","DONE",IF(CustomerTable[[#This Row],[Status]]="DEFERRED","Done","Pending")))</f>
        <v>Done</v>
      </c>
      <c r="H343" s="2" t="s">
        <v>1025</v>
      </c>
      <c r="I343" s="2" t="s">
        <v>391</v>
      </c>
      <c r="J343" s="2" t="s">
        <v>1372</v>
      </c>
      <c r="K343" s="16">
        <v>46022</v>
      </c>
      <c r="M343" s="16"/>
    </row>
    <row r="344" spans="1:13" x14ac:dyDescent="0.4">
      <c r="A344" s="2" t="s">
        <v>344</v>
      </c>
      <c r="B344" s="2">
        <f>VALUE(REPLACE(CustomerTable[[#This Row],[Ticket]],1,3,""))</f>
        <v>605</v>
      </c>
      <c r="C344" s="2" t="s">
        <v>1023</v>
      </c>
      <c r="D344" s="2" t="s">
        <v>2354</v>
      </c>
      <c r="E344" s="2" t="s">
        <v>405</v>
      </c>
      <c r="F344" s="2" t="s">
        <v>398</v>
      </c>
      <c r="G344" s="2" t="str">
        <f>IF(CustomerTable[[#This Row],[Status]]="RESOLVED","Done",IF(CustomerTable[[#This Row],[Status]]="CLOSED","DONE",IF(CustomerTable[[#This Row],[Status]]="DEFERRED","Done","Pending")))</f>
        <v>Done</v>
      </c>
      <c r="H344" s="2" t="s">
        <v>1025</v>
      </c>
      <c r="I344" s="2" t="s">
        <v>389</v>
      </c>
      <c r="J344" s="2" t="s">
        <v>1373</v>
      </c>
      <c r="K344" s="16">
        <v>46022</v>
      </c>
      <c r="M344" s="16"/>
    </row>
    <row r="345" spans="1:13" x14ac:dyDescent="0.4">
      <c r="A345" s="2" t="s">
        <v>345</v>
      </c>
      <c r="B345" s="2">
        <f>VALUE(REPLACE(CustomerTable[[#This Row],[Ticket]],1,3,""))</f>
        <v>606</v>
      </c>
      <c r="C345" s="2" t="s">
        <v>1023</v>
      </c>
      <c r="D345" s="2" t="s">
        <v>2355</v>
      </c>
      <c r="E345" s="2" t="s">
        <v>405</v>
      </c>
      <c r="F345" s="2" t="s">
        <v>398</v>
      </c>
      <c r="G345" s="2" t="str">
        <f>IF(CustomerTable[[#This Row],[Status]]="RESOLVED","Done",IF(CustomerTable[[#This Row],[Status]]="CLOSED","DONE",IF(CustomerTable[[#This Row],[Status]]="DEFERRED","Done","Pending")))</f>
        <v>Done</v>
      </c>
      <c r="H345" s="2" t="s">
        <v>11</v>
      </c>
      <c r="I345" s="2" t="s">
        <v>388</v>
      </c>
      <c r="J345" s="2" t="s">
        <v>1374</v>
      </c>
      <c r="K345" s="16">
        <v>46024</v>
      </c>
      <c r="M345" s="16">
        <v>46024</v>
      </c>
    </row>
    <row r="346" spans="1:13" x14ac:dyDescent="0.4">
      <c r="A346" s="2" t="s">
        <v>346</v>
      </c>
      <c r="B346" s="2">
        <f>VALUE(REPLACE(CustomerTable[[#This Row],[Ticket]],1,3,""))</f>
        <v>607</v>
      </c>
      <c r="C346" s="2" t="s">
        <v>1023</v>
      </c>
      <c r="D346" s="2" t="s">
        <v>2356</v>
      </c>
      <c r="E346" s="2" t="s">
        <v>399</v>
      </c>
      <c r="F346" s="2" t="s">
        <v>398</v>
      </c>
      <c r="G346" s="2" t="str">
        <f>IF(CustomerTable[[#This Row],[Status]]="RESOLVED","Done",IF(CustomerTable[[#This Row],[Status]]="CLOSED","DONE",IF(CustomerTable[[#This Row],[Status]]="DEFERRED","Done","Pending")))</f>
        <v>Done</v>
      </c>
      <c r="H346" s="2" t="s">
        <v>11</v>
      </c>
      <c r="I346" s="2" t="s">
        <v>389</v>
      </c>
      <c r="J346" s="2" t="s">
        <v>1375</v>
      </c>
      <c r="K346" s="16">
        <v>46024</v>
      </c>
      <c r="M346" s="16"/>
    </row>
    <row r="347" spans="1:13" x14ac:dyDescent="0.4">
      <c r="A347" s="2" t="s">
        <v>347</v>
      </c>
      <c r="B347" s="2">
        <f>VALUE(REPLACE(CustomerTable[[#This Row],[Ticket]],1,3,""))</f>
        <v>608</v>
      </c>
      <c r="C347" s="2" t="s">
        <v>1023</v>
      </c>
      <c r="D347" s="2" t="s">
        <v>2357</v>
      </c>
      <c r="E347" s="2" t="s">
        <v>405</v>
      </c>
      <c r="F347" s="2" t="s">
        <v>398</v>
      </c>
      <c r="G347" s="2" t="str">
        <f>IF(CustomerTable[[#This Row],[Status]]="RESOLVED","Done",IF(CustomerTable[[#This Row],[Status]]="CLOSED","DONE",IF(CustomerTable[[#This Row],[Status]]="DEFERRED","Done","Pending")))</f>
        <v>Done</v>
      </c>
      <c r="H347" s="2" t="s">
        <v>1032</v>
      </c>
      <c r="I347" s="2" t="s">
        <v>389</v>
      </c>
      <c r="J347" s="2" t="s">
        <v>1376</v>
      </c>
      <c r="K347" s="16">
        <v>46024</v>
      </c>
      <c r="M347" s="16">
        <v>46059</v>
      </c>
    </row>
    <row r="348" spans="1:13" x14ac:dyDescent="0.4">
      <c r="A348" s="2" t="s">
        <v>348</v>
      </c>
      <c r="B348" s="2">
        <f>VALUE(REPLACE(CustomerTable[[#This Row],[Ticket]],1,3,""))</f>
        <v>609</v>
      </c>
      <c r="C348" s="2" t="s">
        <v>1024</v>
      </c>
      <c r="D348" s="2" t="s">
        <v>2358</v>
      </c>
      <c r="E348" s="2" t="s">
        <v>405</v>
      </c>
      <c r="F348" s="2" t="s">
        <v>398</v>
      </c>
      <c r="G348" s="2" t="str">
        <f>IF(CustomerTable[[#This Row],[Status]]="RESOLVED","Done",IF(CustomerTable[[#This Row],[Status]]="CLOSED","DONE",IF(CustomerTable[[#This Row],[Status]]="DEFERRED","Done","Pending")))</f>
        <v>Done</v>
      </c>
      <c r="H348" s="2" t="s">
        <v>1031</v>
      </c>
      <c r="I348" s="2" t="s">
        <v>393</v>
      </c>
      <c r="J348" s="2" t="s">
        <v>1377</v>
      </c>
      <c r="K348" s="16">
        <v>46025</v>
      </c>
      <c r="M348" s="16">
        <v>46051</v>
      </c>
    </row>
    <row r="349" spans="1:13" x14ac:dyDescent="0.4">
      <c r="A349" s="2" t="s">
        <v>349</v>
      </c>
      <c r="B349" s="2">
        <f>VALUE(REPLACE(CustomerTable[[#This Row],[Ticket]],1,3,""))</f>
        <v>610</v>
      </c>
      <c r="C349" s="2" t="s">
        <v>1023</v>
      </c>
      <c r="D349" s="2" t="s">
        <v>2359</v>
      </c>
      <c r="E349" s="2" t="s">
        <v>405</v>
      </c>
      <c r="F349" s="2" t="s">
        <v>398</v>
      </c>
      <c r="G349" s="2" t="str">
        <f>IF(CustomerTable[[#This Row],[Status]]="RESOLVED","Done",IF(CustomerTable[[#This Row],[Status]]="CLOSED","DONE",IF(CustomerTable[[#This Row],[Status]]="DEFERRED","Done","Pending")))</f>
        <v>Done</v>
      </c>
      <c r="H349" s="2" t="s">
        <v>1032</v>
      </c>
      <c r="I349" s="2" t="s">
        <v>390</v>
      </c>
      <c r="J349" s="2" t="s">
        <v>1378</v>
      </c>
      <c r="K349" s="16">
        <v>46025</v>
      </c>
      <c r="M349" s="16">
        <v>46066</v>
      </c>
    </row>
    <row r="350" spans="1:13" x14ac:dyDescent="0.4">
      <c r="A350" s="2" t="s">
        <v>350</v>
      </c>
      <c r="B350" s="2">
        <f>VALUE(REPLACE(CustomerTable[[#This Row],[Ticket]],1,3,""))</f>
        <v>611</v>
      </c>
      <c r="C350" s="2" t="s">
        <v>1023</v>
      </c>
      <c r="D350" s="2" t="s">
        <v>2360</v>
      </c>
      <c r="E350" s="2" t="s">
        <v>405</v>
      </c>
      <c r="F350" s="2" t="s">
        <v>413</v>
      </c>
      <c r="G350" s="2" t="str">
        <f>IF(CustomerTable[[#This Row],[Status]]="RESOLVED","Done",IF(CustomerTable[[#This Row],[Status]]="CLOSED","DONE",IF(CustomerTable[[#This Row],[Status]]="DEFERRED","Done","Pending")))</f>
        <v>DONE</v>
      </c>
      <c r="H350" s="2" t="s">
        <v>11</v>
      </c>
      <c r="I350" s="2" t="s">
        <v>390</v>
      </c>
      <c r="J350" s="2" t="s">
        <v>1379</v>
      </c>
      <c r="K350" s="16">
        <v>46025</v>
      </c>
      <c r="M350" s="16"/>
    </row>
    <row r="351" spans="1:13" x14ac:dyDescent="0.4">
      <c r="A351" s="2" t="s">
        <v>351</v>
      </c>
      <c r="B351" s="2">
        <f>VALUE(REPLACE(CustomerTable[[#This Row],[Ticket]],1,3,""))</f>
        <v>612</v>
      </c>
      <c r="C351" s="2" t="s">
        <v>1023</v>
      </c>
      <c r="D351" s="2" t="s">
        <v>2361</v>
      </c>
      <c r="F351" s="2" t="s">
        <v>398</v>
      </c>
      <c r="G351" s="2" t="str">
        <f>IF(CustomerTable[[#This Row],[Status]]="RESOLVED","Done",IF(CustomerTable[[#This Row],[Status]]="CLOSED","DONE",IF(CustomerTable[[#This Row],[Status]]="DEFERRED","Done","Pending")))</f>
        <v>Done</v>
      </c>
      <c r="H351" s="2" t="s">
        <v>1025</v>
      </c>
      <c r="I351" s="2" t="s">
        <v>389</v>
      </c>
      <c r="J351" s="2" t="s">
        <v>1380</v>
      </c>
      <c r="K351" s="16">
        <v>46025</v>
      </c>
      <c r="M351" s="16"/>
    </row>
    <row r="352" spans="1:13" x14ac:dyDescent="0.4">
      <c r="A352" s="2" t="s">
        <v>352</v>
      </c>
      <c r="B352" s="2">
        <f>VALUE(REPLACE(CustomerTable[[#This Row],[Ticket]],1,3,""))</f>
        <v>613</v>
      </c>
      <c r="C352" s="2" t="s">
        <v>1023</v>
      </c>
      <c r="D352" s="2" t="s">
        <v>2362</v>
      </c>
      <c r="E352" s="2" t="s">
        <v>405</v>
      </c>
      <c r="F352" s="2" t="s">
        <v>398</v>
      </c>
      <c r="G352" s="2" t="str">
        <f>IF(CustomerTable[[#This Row],[Status]]="RESOLVED","Done",IF(CustomerTable[[#This Row],[Status]]="CLOSED","DONE",IF(CustomerTable[[#This Row],[Status]]="DEFERRED","Done","Pending")))</f>
        <v>Done</v>
      </c>
      <c r="H352" s="2" t="s">
        <v>1032</v>
      </c>
      <c r="I352" s="2" t="s">
        <v>389</v>
      </c>
      <c r="J352" s="2" t="s">
        <v>1381</v>
      </c>
      <c r="K352" s="16">
        <v>46025</v>
      </c>
      <c r="M352" s="16">
        <v>46049</v>
      </c>
    </row>
    <row r="353" spans="1:13" x14ac:dyDescent="0.4">
      <c r="A353" s="2" t="s">
        <v>353</v>
      </c>
      <c r="B353" s="2">
        <f>VALUE(REPLACE(CustomerTable[[#This Row],[Ticket]],1,3,""))</f>
        <v>614</v>
      </c>
      <c r="C353" s="2" t="s">
        <v>1023</v>
      </c>
      <c r="D353" s="2" t="s">
        <v>2363</v>
      </c>
      <c r="F353" s="2" t="s">
        <v>398</v>
      </c>
      <c r="G353" s="2" t="str">
        <f>IF(CustomerTable[[#This Row],[Status]]="RESOLVED","Done",IF(CustomerTable[[#This Row],[Status]]="CLOSED","DONE",IF(CustomerTable[[#This Row],[Status]]="DEFERRED","Done","Pending")))</f>
        <v>Done</v>
      </c>
      <c r="H353" s="2" t="s">
        <v>1032</v>
      </c>
      <c r="I353" s="2" t="s">
        <v>389</v>
      </c>
      <c r="J353" s="2" t="s">
        <v>1382</v>
      </c>
      <c r="K353" s="16">
        <v>46025</v>
      </c>
      <c r="M353" s="16"/>
    </row>
    <row r="354" spans="1:13" x14ac:dyDescent="0.4">
      <c r="A354" s="2" t="s">
        <v>354</v>
      </c>
      <c r="B354" s="2">
        <f>VALUE(REPLACE(CustomerTable[[#This Row],[Ticket]],1,3,""))</f>
        <v>615</v>
      </c>
      <c r="C354" s="2" t="s">
        <v>1023</v>
      </c>
      <c r="D354" s="2" t="s">
        <v>2364</v>
      </c>
      <c r="E354" s="2" t="s">
        <v>405</v>
      </c>
      <c r="F354" s="2" t="s">
        <v>398</v>
      </c>
      <c r="G354" s="2" t="str">
        <f>IF(CustomerTable[[#This Row],[Status]]="RESOLVED","Done",IF(CustomerTable[[#This Row],[Status]]="CLOSED","DONE",IF(CustomerTable[[#This Row],[Status]]="DEFERRED","Done","Pending")))</f>
        <v>Done</v>
      </c>
      <c r="H354" s="2" t="s">
        <v>11</v>
      </c>
      <c r="I354" s="2" t="s">
        <v>392</v>
      </c>
      <c r="J354" s="2" t="s">
        <v>1383</v>
      </c>
      <c r="K354" s="16">
        <v>46025</v>
      </c>
      <c r="M354" s="16">
        <v>46064</v>
      </c>
    </row>
    <row r="355" spans="1:13" x14ac:dyDescent="0.4">
      <c r="A355" s="2" t="s">
        <v>355</v>
      </c>
      <c r="B355" s="2">
        <f>VALUE(REPLACE(CustomerTable[[#This Row],[Ticket]],1,3,""))</f>
        <v>616</v>
      </c>
      <c r="C355" s="2" t="s">
        <v>1023</v>
      </c>
      <c r="D355" s="2" t="s">
        <v>2365</v>
      </c>
      <c r="E355" s="2" t="s">
        <v>405</v>
      </c>
      <c r="F355" s="2" t="s">
        <v>398</v>
      </c>
      <c r="G355" s="2" t="str">
        <f>IF(CustomerTable[[#This Row],[Status]]="RESOLVED","Done",IF(CustomerTable[[#This Row],[Status]]="CLOSED","DONE",IF(CustomerTable[[#This Row],[Status]]="DEFERRED","Done","Pending")))</f>
        <v>Done</v>
      </c>
      <c r="H355" s="2" t="s">
        <v>11</v>
      </c>
      <c r="I355" s="2" t="s">
        <v>388</v>
      </c>
      <c r="J355" s="2" t="s">
        <v>1384</v>
      </c>
      <c r="K355" s="16">
        <v>46027</v>
      </c>
      <c r="M355" s="16">
        <v>46027</v>
      </c>
    </row>
    <row r="356" spans="1:13" x14ac:dyDescent="0.4">
      <c r="A356" s="2" t="s">
        <v>356</v>
      </c>
      <c r="B356" s="2">
        <f>VALUE(REPLACE(CustomerTable[[#This Row],[Ticket]],1,3,""))</f>
        <v>617</v>
      </c>
      <c r="C356" s="2" t="s">
        <v>1023</v>
      </c>
      <c r="D356" s="2" t="s">
        <v>2366</v>
      </c>
      <c r="F356" s="2" t="s">
        <v>398</v>
      </c>
      <c r="G356" s="2" t="str">
        <f>IF(CustomerTable[[#This Row],[Status]]="RESOLVED","Done",IF(CustomerTable[[#This Row],[Status]]="CLOSED","DONE",IF(CustomerTable[[#This Row],[Status]]="DEFERRED","Done","Pending")))</f>
        <v>Done</v>
      </c>
      <c r="H356" s="2" t="s">
        <v>1032</v>
      </c>
      <c r="I356" s="2" t="s">
        <v>389</v>
      </c>
      <c r="J356" s="2" t="s">
        <v>1385</v>
      </c>
      <c r="K356" s="16">
        <v>46027</v>
      </c>
      <c r="M356" s="16"/>
    </row>
    <row r="357" spans="1:13" x14ac:dyDescent="0.4">
      <c r="A357" s="2" t="s">
        <v>357</v>
      </c>
      <c r="B357" s="2">
        <f>VALUE(REPLACE(CustomerTable[[#This Row],[Ticket]],1,3,""))</f>
        <v>618</v>
      </c>
      <c r="C357" s="2" t="s">
        <v>1023</v>
      </c>
      <c r="D357" s="2" t="s">
        <v>2367</v>
      </c>
      <c r="E357" s="2" t="s">
        <v>405</v>
      </c>
      <c r="F357" s="2" t="s">
        <v>398</v>
      </c>
      <c r="G357" s="2" t="str">
        <f>IF(CustomerTable[[#This Row],[Status]]="RESOLVED","Done",IF(CustomerTable[[#This Row],[Status]]="CLOSED","DONE",IF(CustomerTable[[#This Row],[Status]]="DEFERRED","Done","Pending")))</f>
        <v>Done</v>
      </c>
      <c r="I357" s="2" t="s">
        <v>390</v>
      </c>
      <c r="J357" s="2" t="s">
        <v>1386</v>
      </c>
      <c r="K357" s="16">
        <v>46027</v>
      </c>
      <c r="M357" s="16">
        <v>46058</v>
      </c>
    </row>
    <row r="358" spans="1:13" x14ac:dyDescent="0.4">
      <c r="A358" s="2" t="s">
        <v>358</v>
      </c>
      <c r="B358" s="2">
        <f>VALUE(REPLACE(CustomerTable[[#This Row],[Ticket]],1,3,""))</f>
        <v>619</v>
      </c>
      <c r="C358" s="2" t="s">
        <v>1023</v>
      </c>
      <c r="D358" s="2" t="s">
        <v>2368</v>
      </c>
      <c r="F358" s="2" t="s">
        <v>398</v>
      </c>
      <c r="G358" s="2" t="str">
        <f>IF(CustomerTable[[#This Row],[Status]]="RESOLVED","Done",IF(CustomerTable[[#This Row],[Status]]="CLOSED","DONE",IF(CustomerTable[[#This Row],[Status]]="DEFERRED","Done","Pending")))</f>
        <v>Done</v>
      </c>
      <c r="H358" s="2" t="s">
        <v>1025</v>
      </c>
      <c r="I358" s="2" t="s">
        <v>391</v>
      </c>
      <c r="J358" s="2" t="s">
        <v>1387</v>
      </c>
      <c r="K358" s="16">
        <v>46027</v>
      </c>
      <c r="M358" s="16"/>
    </row>
    <row r="359" spans="1:13" x14ac:dyDescent="0.4">
      <c r="A359" s="2" t="s">
        <v>359</v>
      </c>
      <c r="B359" s="2">
        <f>VALUE(REPLACE(CustomerTable[[#This Row],[Ticket]],1,3,""))</f>
        <v>620</v>
      </c>
      <c r="C359" s="2" t="s">
        <v>1023</v>
      </c>
      <c r="D359" s="2" t="s">
        <v>2369</v>
      </c>
      <c r="E359" s="2" t="s">
        <v>405</v>
      </c>
      <c r="F359" s="2" t="s">
        <v>398</v>
      </c>
      <c r="G359" s="2" t="str">
        <f>IF(CustomerTable[[#This Row],[Status]]="RESOLVED","Done",IF(CustomerTable[[#This Row],[Status]]="CLOSED","DONE",IF(CustomerTable[[#This Row],[Status]]="DEFERRED","Done","Pending")))</f>
        <v>Done</v>
      </c>
      <c r="H359" s="2" t="s">
        <v>1032</v>
      </c>
      <c r="I359" s="2" t="s">
        <v>389</v>
      </c>
      <c r="J359" s="2" t="s">
        <v>1388</v>
      </c>
      <c r="K359" s="16">
        <v>46027</v>
      </c>
      <c r="M359" s="16">
        <v>46029</v>
      </c>
    </row>
    <row r="360" spans="1:13" x14ac:dyDescent="0.4">
      <c r="A360" s="2" t="s">
        <v>360</v>
      </c>
      <c r="B360" s="2">
        <f>VALUE(REPLACE(CustomerTable[[#This Row],[Ticket]],1,3,""))</f>
        <v>621</v>
      </c>
      <c r="C360" s="2" t="s">
        <v>1023</v>
      </c>
      <c r="D360" s="2" t="s">
        <v>2370</v>
      </c>
      <c r="E360" s="2" t="s">
        <v>405</v>
      </c>
      <c r="F360" s="2" t="s">
        <v>398</v>
      </c>
      <c r="G360" s="2" t="str">
        <f>IF(CustomerTable[[#This Row],[Status]]="RESOLVED","Done",IF(CustomerTable[[#This Row],[Status]]="CLOSED","DONE",IF(CustomerTable[[#This Row],[Status]]="DEFERRED","Done","Pending")))</f>
        <v>Done</v>
      </c>
      <c r="H360" s="2" t="s">
        <v>1032</v>
      </c>
      <c r="I360" s="2" t="s">
        <v>392</v>
      </c>
      <c r="J360" s="2" t="s">
        <v>1389</v>
      </c>
      <c r="K360" s="16">
        <v>46027</v>
      </c>
      <c r="M360" s="16">
        <v>46067</v>
      </c>
    </row>
    <row r="361" spans="1:13" x14ac:dyDescent="0.4">
      <c r="A361" s="2" t="s">
        <v>361</v>
      </c>
      <c r="B361" s="2">
        <f>VALUE(REPLACE(CustomerTable[[#This Row],[Ticket]],1,3,""))</f>
        <v>622</v>
      </c>
      <c r="C361" s="2" t="s">
        <v>1023</v>
      </c>
      <c r="D361" s="2" t="s">
        <v>2371</v>
      </c>
      <c r="E361" s="2" t="s">
        <v>405</v>
      </c>
      <c r="F361" s="2" t="s">
        <v>398</v>
      </c>
      <c r="G361" s="2" t="str">
        <f>IF(CustomerTable[[#This Row],[Status]]="RESOLVED","Done",IF(CustomerTable[[#This Row],[Status]]="CLOSED","DONE",IF(CustomerTable[[#This Row],[Status]]="DEFERRED","Done","Pending")))</f>
        <v>Done</v>
      </c>
      <c r="H361" s="2" t="s">
        <v>1028</v>
      </c>
      <c r="I361" s="2" t="s">
        <v>389</v>
      </c>
      <c r="J361" s="2" t="s">
        <v>1390</v>
      </c>
      <c r="K361" s="16">
        <v>46027</v>
      </c>
      <c r="M361" s="16">
        <v>46107</v>
      </c>
    </row>
    <row r="362" spans="1:13" x14ac:dyDescent="0.4">
      <c r="A362" s="2" t="s">
        <v>362</v>
      </c>
      <c r="B362" s="2">
        <f>VALUE(REPLACE(CustomerTable[[#This Row],[Ticket]],1,3,""))</f>
        <v>623</v>
      </c>
      <c r="C362" s="2" t="s">
        <v>1023</v>
      </c>
      <c r="D362" s="2" t="s">
        <v>2372</v>
      </c>
      <c r="E362" s="2" t="s">
        <v>400</v>
      </c>
      <c r="F362" s="2" t="s">
        <v>414</v>
      </c>
      <c r="G362" s="2" t="str">
        <f>IF(CustomerTable[[#This Row],[Status]]="RESOLVED","Done",IF(CustomerTable[[#This Row],[Status]]="CLOSED","DONE",IF(CustomerTable[[#This Row],[Status]]="DEFERRED","Done","Pending")))</f>
        <v>Done</v>
      </c>
      <c r="H362" s="2" t="s">
        <v>1034</v>
      </c>
      <c r="I362" s="2" t="s">
        <v>392</v>
      </c>
      <c r="J362" s="2" t="s">
        <v>1391</v>
      </c>
      <c r="K362" s="16">
        <v>46027</v>
      </c>
      <c r="M362" s="16"/>
    </row>
    <row r="363" spans="1:13" x14ac:dyDescent="0.4">
      <c r="A363" s="2" t="s">
        <v>363</v>
      </c>
      <c r="B363" s="2">
        <f>VALUE(REPLACE(CustomerTable[[#This Row],[Ticket]],1,3,""))</f>
        <v>624</v>
      </c>
      <c r="C363" s="2" t="s">
        <v>1024</v>
      </c>
      <c r="D363" s="2" t="s">
        <v>2373</v>
      </c>
      <c r="E363" s="2" t="s">
        <v>399</v>
      </c>
      <c r="F363" s="2" t="s">
        <v>413</v>
      </c>
      <c r="G363" s="2" t="str">
        <f>IF(CustomerTable[[#This Row],[Status]]="RESOLVED","Done",IF(CustomerTable[[#This Row],[Status]]="CLOSED","DONE",IF(CustomerTable[[#This Row],[Status]]="DEFERRED","Done","Pending")))</f>
        <v>DONE</v>
      </c>
      <c r="H363" s="2" t="s">
        <v>11</v>
      </c>
      <c r="I363" s="2" t="s">
        <v>389</v>
      </c>
      <c r="J363" s="2" t="s">
        <v>1392</v>
      </c>
      <c r="K363" s="16">
        <v>46028</v>
      </c>
      <c r="M363" s="16"/>
    </row>
    <row r="364" spans="1:13" x14ac:dyDescent="0.4">
      <c r="A364" s="2" t="s">
        <v>364</v>
      </c>
      <c r="B364" s="2">
        <f>VALUE(REPLACE(CustomerTable[[#This Row],[Ticket]],1,3,""))</f>
        <v>625</v>
      </c>
      <c r="C364" s="2" t="s">
        <v>1024</v>
      </c>
      <c r="D364" s="2" t="s">
        <v>2374</v>
      </c>
      <c r="E364" s="2" t="s">
        <v>405</v>
      </c>
      <c r="F364" s="2" t="s">
        <v>398</v>
      </c>
      <c r="G364" s="2" t="str">
        <f>IF(CustomerTable[[#This Row],[Status]]="RESOLVED","Done",IF(CustomerTable[[#This Row],[Status]]="CLOSED","DONE",IF(CustomerTable[[#This Row],[Status]]="DEFERRED","Done","Pending")))</f>
        <v>Done</v>
      </c>
      <c r="H364" s="2" t="s">
        <v>1029</v>
      </c>
      <c r="I364" s="2" t="s">
        <v>391</v>
      </c>
      <c r="J364" s="2" t="s">
        <v>1393</v>
      </c>
      <c r="K364" s="16">
        <v>46028</v>
      </c>
      <c r="M364" s="16">
        <v>46126</v>
      </c>
    </row>
    <row r="365" spans="1:13" x14ac:dyDescent="0.4">
      <c r="A365" s="2" t="s">
        <v>365</v>
      </c>
      <c r="B365" s="2">
        <f>VALUE(REPLACE(CustomerTable[[#This Row],[Ticket]],1,3,""))</f>
        <v>626</v>
      </c>
      <c r="C365" s="2" t="s">
        <v>1024</v>
      </c>
      <c r="D365" s="2" t="s">
        <v>2375</v>
      </c>
      <c r="E365" s="2" t="s">
        <v>405</v>
      </c>
      <c r="F365" s="2" t="s">
        <v>398</v>
      </c>
      <c r="G365" s="2" t="str">
        <f>IF(CustomerTable[[#This Row],[Status]]="RESOLVED","Done",IF(CustomerTable[[#This Row],[Status]]="CLOSED","DONE",IF(CustomerTable[[#This Row],[Status]]="DEFERRED","Done","Pending")))</f>
        <v>Done</v>
      </c>
      <c r="H365" s="2" t="s">
        <v>1029</v>
      </c>
      <c r="I365" s="2" t="s">
        <v>389</v>
      </c>
      <c r="J365" s="2" t="s">
        <v>1394</v>
      </c>
      <c r="K365" s="16">
        <v>46028</v>
      </c>
      <c r="M365" s="16">
        <v>46078</v>
      </c>
    </row>
    <row r="366" spans="1:13" x14ac:dyDescent="0.4">
      <c r="A366" s="2" t="s">
        <v>366</v>
      </c>
      <c r="B366" s="2">
        <f>VALUE(REPLACE(CustomerTable[[#This Row],[Ticket]],1,3,""))</f>
        <v>627</v>
      </c>
      <c r="C366" s="2" t="s">
        <v>1024</v>
      </c>
      <c r="D366" s="2" t="s">
        <v>2376</v>
      </c>
      <c r="E366" s="2" t="s">
        <v>405</v>
      </c>
      <c r="F366" s="2" t="s">
        <v>398</v>
      </c>
      <c r="G366" s="2" t="str">
        <f>IF(CustomerTable[[#This Row],[Status]]="RESOLVED","Done",IF(CustomerTable[[#This Row],[Status]]="CLOSED","DONE",IF(CustomerTable[[#This Row],[Status]]="DEFERRED","Done","Pending")))</f>
        <v>Done</v>
      </c>
      <c r="H366" s="2" t="s">
        <v>1029</v>
      </c>
      <c r="I366" s="2" t="s">
        <v>391</v>
      </c>
      <c r="J366" s="2" t="s">
        <v>1395</v>
      </c>
      <c r="K366" s="16">
        <v>46028</v>
      </c>
      <c r="M366" s="16">
        <v>46126</v>
      </c>
    </row>
    <row r="367" spans="1:13" x14ac:dyDescent="0.4">
      <c r="A367" s="2" t="s">
        <v>367</v>
      </c>
      <c r="B367" s="2">
        <f>VALUE(REPLACE(CustomerTable[[#This Row],[Ticket]],1,3,""))</f>
        <v>628</v>
      </c>
      <c r="C367" s="2" t="s">
        <v>1023</v>
      </c>
      <c r="D367" s="2" t="s">
        <v>2377</v>
      </c>
      <c r="E367" s="2" t="s">
        <v>405</v>
      </c>
      <c r="F367" s="2" t="s">
        <v>398</v>
      </c>
      <c r="G367" s="2" t="str">
        <f>IF(CustomerTable[[#This Row],[Status]]="RESOLVED","Done",IF(CustomerTable[[#This Row],[Status]]="CLOSED","DONE",IF(CustomerTable[[#This Row],[Status]]="DEFERRED","Done","Pending")))</f>
        <v>Done</v>
      </c>
      <c r="H367" s="2" t="s">
        <v>1028</v>
      </c>
      <c r="I367" s="2" t="s">
        <v>392</v>
      </c>
      <c r="J367" s="2" t="s">
        <v>1396</v>
      </c>
      <c r="K367" s="16">
        <v>46029</v>
      </c>
      <c r="M367" s="16">
        <v>46105</v>
      </c>
    </row>
    <row r="368" spans="1:13" x14ac:dyDescent="0.4">
      <c r="A368" s="2" t="s">
        <v>368</v>
      </c>
      <c r="B368" s="2">
        <f>VALUE(REPLACE(CustomerTable[[#This Row],[Ticket]],1,3,""))</f>
        <v>629</v>
      </c>
      <c r="C368" s="2" t="s">
        <v>1023</v>
      </c>
      <c r="D368" s="2" t="s">
        <v>2378</v>
      </c>
      <c r="E368" s="2" t="s">
        <v>405</v>
      </c>
      <c r="F368" s="2" t="s">
        <v>398</v>
      </c>
      <c r="G368" s="2" t="str">
        <f>IF(CustomerTable[[#This Row],[Status]]="RESOLVED","Done",IF(CustomerTable[[#This Row],[Status]]="CLOSED","DONE",IF(CustomerTable[[#This Row],[Status]]="DEFERRED","Done","Pending")))</f>
        <v>Done</v>
      </c>
      <c r="H368" s="2" t="s">
        <v>11</v>
      </c>
      <c r="I368" s="2" t="s">
        <v>393</v>
      </c>
      <c r="J368" s="2" t="s">
        <v>1397</v>
      </c>
      <c r="K368" s="16">
        <v>46029</v>
      </c>
      <c r="M368" s="16">
        <v>46029</v>
      </c>
    </row>
    <row r="369" spans="1:13" x14ac:dyDescent="0.4">
      <c r="A369" s="2" t="s">
        <v>369</v>
      </c>
      <c r="B369" s="2">
        <f>VALUE(REPLACE(CustomerTable[[#This Row],[Ticket]],1,3,""))</f>
        <v>630</v>
      </c>
      <c r="C369" s="2" t="s">
        <v>1023</v>
      </c>
      <c r="D369" s="2" t="s">
        <v>2379</v>
      </c>
      <c r="E369" s="2" t="s">
        <v>405</v>
      </c>
      <c r="F369" s="2" t="s">
        <v>398</v>
      </c>
      <c r="G369" s="2" t="str">
        <f>IF(CustomerTable[[#This Row],[Status]]="RESOLVED","Done",IF(CustomerTable[[#This Row],[Status]]="CLOSED","DONE",IF(CustomerTable[[#This Row],[Status]]="DEFERRED","Done","Pending")))</f>
        <v>Done</v>
      </c>
      <c r="H369" s="2" t="s">
        <v>1032</v>
      </c>
      <c r="I369" s="2" t="s">
        <v>390</v>
      </c>
      <c r="J369" s="2" t="s">
        <v>1398</v>
      </c>
      <c r="K369" s="16">
        <v>46029</v>
      </c>
      <c r="M369" s="16">
        <v>46063</v>
      </c>
    </row>
    <row r="370" spans="1:13" x14ac:dyDescent="0.4">
      <c r="A370" s="2" t="s">
        <v>370</v>
      </c>
      <c r="B370" s="2">
        <f>VALUE(REPLACE(CustomerTable[[#This Row],[Ticket]],1,3,""))</f>
        <v>631</v>
      </c>
      <c r="C370" s="2" t="s">
        <v>1023</v>
      </c>
      <c r="D370" s="2" t="s">
        <v>2380</v>
      </c>
      <c r="E370" s="2" t="s">
        <v>405</v>
      </c>
      <c r="F370" s="2" t="s">
        <v>398</v>
      </c>
      <c r="G370" s="2" t="str">
        <f>IF(CustomerTable[[#This Row],[Status]]="RESOLVED","Done",IF(CustomerTable[[#This Row],[Status]]="CLOSED","DONE",IF(CustomerTable[[#This Row],[Status]]="DEFERRED","Done","Pending")))</f>
        <v>Done</v>
      </c>
      <c r="H370" s="2" t="s">
        <v>1032</v>
      </c>
      <c r="I370" s="2" t="s">
        <v>389</v>
      </c>
      <c r="J370" s="2" t="s">
        <v>1399</v>
      </c>
      <c r="K370" s="16">
        <v>46031</v>
      </c>
      <c r="M370" s="16">
        <v>46049</v>
      </c>
    </row>
    <row r="371" spans="1:13" x14ac:dyDescent="0.4">
      <c r="A371" s="2" t="s">
        <v>371</v>
      </c>
      <c r="B371" s="2">
        <f>VALUE(REPLACE(CustomerTable[[#This Row],[Ticket]],1,3,""))</f>
        <v>632</v>
      </c>
      <c r="C371" s="2" t="s">
        <v>1023</v>
      </c>
      <c r="D371" s="2" t="s">
        <v>2381</v>
      </c>
      <c r="E371" s="2" t="s">
        <v>405</v>
      </c>
      <c r="F371" s="2" t="s">
        <v>398</v>
      </c>
      <c r="G371" s="2" t="str">
        <f>IF(CustomerTable[[#This Row],[Status]]="RESOLVED","Done",IF(CustomerTable[[#This Row],[Status]]="CLOSED","DONE",IF(CustomerTable[[#This Row],[Status]]="DEFERRED","Done","Pending")))</f>
        <v>Done</v>
      </c>
      <c r="H371" s="2" t="s">
        <v>1028</v>
      </c>
      <c r="I371" s="2" t="s">
        <v>389</v>
      </c>
      <c r="J371" s="2" t="s">
        <v>1400</v>
      </c>
      <c r="K371" s="16">
        <v>46031</v>
      </c>
      <c r="M371" s="16">
        <v>46104</v>
      </c>
    </row>
    <row r="372" spans="1:13" x14ac:dyDescent="0.4">
      <c r="A372" s="2" t="s">
        <v>372</v>
      </c>
      <c r="B372" s="2">
        <f>VALUE(REPLACE(CustomerTable[[#This Row],[Ticket]],1,3,""))</f>
        <v>633</v>
      </c>
      <c r="C372" s="2" t="s">
        <v>1023</v>
      </c>
      <c r="D372" s="2" t="s">
        <v>2382</v>
      </c>
      <c r="E372" s="2" t="s">
        <v>405</v>
      </c>
      <c r="F372" s="2" t="s">
        <v>398</v>
      </c>
      <c r="G372" s="2" t="str">
        <f>IF(CustomerTable[[#This Row],[Status]]="RESOLVED","Done",IF(CustomerTable[[#This Row],[Status]]="CLOSED","DONE",IF(CustomerTable[[#This Row],[Status]]="DEFERRED","Done","Pending")))</f>
        <v>Done</v>
      </c>
      <c r="H372" s="2" t="s">
        <v>1028</v>
      </c>
      <c r="I372" s="2" t="s">
        <v>392</v>
      </c>
      <c r="J372" s="2" t="s">
        <v>1401</v>
      </c>
      <c r="K372" s="16">
        <v>46031</v>
      </c>
      <c r="M372" s="16">
        <v>46132</v>
      </c>
    </row>
    <row r="373" spans="1:13" x14ac:dyDescent="0.4">
      <c r="A373" s="2" t="s">
        <v>373</v>
      </c>
      <c r="B373" s="2">
        <f>VALUE(REPLACE(CustomerTable[[#This Row],[Ticket]],1,3,""))</f>
        <v>634</v>
      </c>
      <c r="C373" s="2" t="s">
        <v>1023</v>
      </c>
      <c r="D373" s="2" t="s">
        <v>2383</v>
      </c>
      <c r="E373" s="2" t="s">
        <v>405</v>
      </c>
      <c r="F373" s="2" t="s">
        <v>398</v>
      </c>
      <c r="G373" s="2" t="str">
        <f>IF(CustomerTable[[#This Row],[Status]]="RESOLVED","Done",IF(CustomerTable[[#This Row],[Status]]="CLOSED","DONE",IF(CustomerTable[[#This Row],[Status]]="DEFERRED","Done","Pending")))</f>
        <v>Done</v>
      </c>
      <c r="H373" s="2" t="s">
        <v>11</v>
      </c>
      <c r="I373" s="2" t="s">
        <v>393</v>
      </c>
      <c r="J373" s="2" t="s">
        <v>1402</v>
      </c>
      <c r="K373" s="16">
        <v>46031</v>
      </c>
      <c r="M373" s="16">
        <v>46031</v>
      </c>
    </row>
    <row r="374" spans="1:13" x14ac:dyDescent="0.4">
      <c r="A374" s="2" t="s">
        <v>374</v>
      </c>
      <c r="B374" s="2">
        <f>VALUE(REPLACE(CustomerTable[[#This Row],[Ticket]],1,3,""))</f>
        <v>635</v>
      </c>
      <c r="C374" s="2" t="s">
        <v>1023</v>
      </c>
      <c r="D374" s="2" t="s">
        <v>2384</v>
      </c>
      <c r="E374" s="2" t="s">
        <v>399</v>
      </c>
      <c r="F374" s="2" t="s">
        <v>398</v>
      </c>
      <c r="G374" s="2" t="str">
        <f>IF(CustomerTable[[#This Row],[Status]]="RESOLVED","Done",IF(CustomerTable[[#This Row],[Status]]="CLOSED","DONE",IF(CustomerTable[[#This Row],[Status]]="DEFERRED","Done","Pending")))</f>
        <v>Done</v>
      </c>
      <c r="I374" s="2" t="s">
        <v>389</v>
      </c>
      <c r="J374" s="2" t="s">
        <v>1403</v>
      </c>
      <c r="K374" s="16">
        <v>46031</v>
      </c>
      <c r="M374" s="16"/>
    </row>
    <row r="375" spans="1:13" x14ac:dyDescent="0.4">
      <c r="A375" s="2" t="s">
        <v>534</v>
      </c>
      <c r="B375" s="2">
        <f>VALUE(REPLACE(CustomerTable[[#This Row],[Ticket]],1,3,""))</f>
        <v>636</v>
      </c>
      <c r="C375" s="2" t="s">
        <v>1023</v>
      </c>
      <c r="D375" s="2" t="s">
        <v>2385</v>
      </c>
      <c r="E375" s="2" t="s">
        <v>405</v>
      </c>
      <c r="F375" s="2" t="s">
        <v>413</v>
      </c>
      <c r="G375" s="2" t="str">
        <f>IF(CustomerTable[[#This Row],[Status]]="RESOLVED","Done",IF(CustomerTable[[#This Row],[Status]]="CLOSED","DONE",IF(CustomerTable[[#This Row],[Status]]="DEFERRED","Done","Pending")))</f>
        <v>DONE</v>
      </c>
      <c r="H375" s="2" t="s">
        <v>11</v>
      </c>
      <c r="I375" s="2" t="s">
        <v>389</v>
      </c>
      <c r="J375" s="2" t="s">
        <v>1404</v>
      </c>
      <c r="K375" s="16">
        <v>46031</v>
      </c>
      <c r="M375" s="16"/>
    </row>
    <row r="376" spans="1:13" x14ac:dyDescent="0.4">
      <c r="A376" s="2" t="s">
        <v>375</v>
      </c>
      <c r="B376" s="2">
        <f>VALUE(REPLACE(CustomerTable[[#This Row],[Ticket]],1,3,""))</f>
        <v>637</v>
      </c>
      <c r="C376" s="2" t="s">
        <v>1023</v>
      </c>
      <c r="D376" s="2" t="s">
        <v>2386</v>
      </c>
      <c r="E376" s="2" t="s">
        <v>405</v>
      </c>
      <c r="F376" s="2" t="s">
        <v>398</v>
      </c>
      <c r="G376" s="2" t="str">
        <f>IF(CustomerTable[[#This Row],[Status]]="RESOLVED","Done",IF(CustomerTable[[#This Row],[Status]]="CLOSED","DONE",IF(CustomerTable[[#This Row],[Status]]="DEFERRED","Done","Pending")))</f>
        <v>Done</v>
      </c>
      <c r="H376" s="2" t="s">
        <v>11</v>
      </c>
      <c r="I376" s="2" t="s">
        <v>389</v>
      </c>
      <c r="J376" s="2" t="s">
        <v>1405</v>
      </c>
      <c r="K376" s="16">
        <v>46031</v>
      </c>
      <c r="M376" s="16"/>
    </row>
    <row r="377" spans="1:13" x14ac:dyDescent="0.4">
      <c r="A377" s="2" t="s">
        <v>376</v>
      </c>
      <c r="B377" s="2">
        <f>VALUE(REPLACE(CustomerTable[[#This Row],[Ticket]],1,3,""))</f>
        <v>638</v>
      </c>
      <c r="C377" s="2" t="s">
        <v>1023</v>
      </c>
      <c r="D377" s="2" t="s">
        <v>2387</v>
      </c>
      <c r="E377" s="2" t="s">
        <v>400</v>
      </c>
      <c r="F377" s="2" t="s">
        <v>398</v>
      </c>
      <c r="G377" s="2" t="str">
        <f>IF(CustomerTable[[#This Row],[Status]]="RESOLVED","Done",IF(CustomerTable[[#This Row],[Status]]="CLOSED","DONE",IF(CustomerTable[[#This Row],[Status]]="DEFERRED","Done","Pending")))</f>
        <v>Done</v>
      </c>
      <c r="H377" s="2" t="s">
        <v>1028</v>
      </c>
      <c r="I377" s="2" t="s">
        <v>392</v>
      </c>
      <c r="J377" s="2" t="s">
        <v>1406</v>
      </c>
      <c r="K377" s="16">
        <v>46031</v>
      </c>
      <c r="M377" s="16">
        <v>46125</v>
      </c>
    </row>
    <row r="378" spans="1:13" x14ac:dyDescent="0.4">
      <c r="A378" s="2" t="s">
        <v>377</v>
      </c>
      <c r="B378" s="2">
        <f>VALUE(REPLACE(CustomerTable[[#This Row],[Ticket]],1,3,""))</f>
        <v>639</v>
      </c>
      <c r="C378" s="2" t="s">
        <v>1023</v>
      </c>
      <c r="D378" s="2" t="s">
        <v>2388</v>
      </c>
      <c r="E378" s="2" t="s">
        <v>405</v>
      </c>
      <c r="F378" s="2" t="s">
        <v>398</v>
      </c>
      <c r="G378" s="2" t="str">
        <f>IF(CustomerTable[[#This Row],[Status]]="RESOLVED","Done",IF(CustomerTable[[#This Row],[Status]]="CLOSED","DONE",IF(CustomerTable[[#This Row],[Status]]="DEFERRED","Done","Pending")))</f>
        <v>Done</v>
      </c>
      <c r="H378" s="2" t="s">
        <v>1032</v>
      </c>
      <c r="I378" s="2" t="s">
        <v>389</v>
      </c>
      <c r="J378" s="2" t="s">
        <v>1407</v>
      </c>
      <c r="K378" s="16">
        <v>46031</v>
      </c>
      <c r="M378" s="16">
        <v>46049</v>
      </c>
    </row>
    <row r="379" spans="1:13" x14ac:dyDescent="0.4">
      <c r="A379" s="2" t="s">
        <v>378</v>
      </c>
      <c r="B379" s="2">
        <f>VALUE(REPLACE(CustomerTable[[#This Row],[Ticket]],1,3,""))</f>
        <v>640</v>
      </c>
      <c r="C379" s="2" t="s">
        <v>1023</v>
      </c>
      <c r="D379" s="2" t="s">
        <v>2389</v>
      </c>
      <c r="E379" s="2" t="s">
        <v>405</v>
      </c>
      <c r="F379" s="2" t="s">
        <v>398</v>
      </c>
      <c r="G379" s="2" t="str">
        <f>IF(CustomerTable[[#This Row],[Status]]="RESOLVED","Done",IF(CustomerTable[[#This Row],[Status]]="CLOSED","DONE",IF(CustomerTable[[#This Row],[Status]]="DEFERRED","Done","Pending")))</f>
        <v>Done</v>
      </c>
      <c r="H379" s="2" t="s">
        <v>1028</v>
      </c>
      <c r="I379" s="2" t="s">
        <v>389</v>
      </c>
      <c r="J379" s="2" t="s">
        <v>1408</v>
      </c>
      <c r="K379" s="16">
        <v>46035</v>
      </c>
      <c r="M379" s="16">
        <v>46084</v>
      </c>
    </row>
    <row r="380" spans="1:13" x14ac:dyDescent="0.4">
      <c r="A380" s="2" t="s">
        <v>379</v>
      </c>
      <c r="B380" s="2">
        <f>VALUE(REPLACE(CustomerTable[[#This Row],[Ticket]],1,3,""))</f>
        <v>641</v>
      </c>
      <c r="C380" s="2" t="s">
        <v>1023</v>
      </c>
      <c r="D380" s="2" t="s">
        <v>2390</v>
      </c>
      <c r="E380" s="2" t="s">
        <v>405</v>
      </c>
      <c r="F380" s="2" t="s">
        <v>398</v>
      </c>
      <c r="G380" s="2" t="str">
        <f>IF(CustomerTable[[#This Row],[Status]]="RESOLVED","Done",IF(CustomerTable[[#This Row],[Status]]="CLOSED","DONE",IF(CustomerTable[[#This Row],[Status]]="DEFERRED","Done","Pending")))</f>
        <v>Done</v>
      </c>
      <c r="H380" s="2" t="s">
        <v>11</v>
      </c>
      <c r="I380" s="2" t="s">
        <v>389</v>
      </c>
      <c r="J380" s="2" t="s">
        <v>1409</v>
      </c>
      <c r="K380" s="16">
        <v>46035</v>
      </c>
      <c r="M380" s="16"/>
    </row>
    <row r="381" spans="1:13" x14ac:dyDescent="0.4">
      <c r="A381" s="2" t="s">
        <v>380</v>
      </c>
      <c r="B381" s="2">
        <f>VALUE(REPLACE(CustomerTable[[#This Row],[Ticket]],1,3,""))</f>
        <v>642</v>
      </c>
      <c r="C381" s="2" t="s">
        <v>1023</v>
      </c>
      <c r="D381" s="2" t="s">
        <v>2391</v>
      </c>
      <c r="E381" s="2" t="s">
        <v>405</v>
      </c>
      <c r="F381" s="2" t="s">
        <v>398</v>
      </c>
      <c r="G381" s="2" t="str">
        <f>IF(CustomerTable[[#This Row],[Status]]="RESOLVED","Done",IF(CustomerTable[[#This Row],[Status]]="CLOSED","DONE",IF(CustomerTable[[#This Row],[Status]]="DEFERRED","Done","Pending")))</f>
        <v>Done</v>
      </c>
      <c r="H381" s="2" t="s">
        <v>1028</v>
      </c>
      <c r="I381" s="2" t="s">
        <v>389</v>
      </c>
      <c r="J381" s="2" t="s">
        <v>1410</v>
      </c>
      <c r="K381" s="16">
        <v>46035</v>
      </c>
      <c r="M381" s="16">
        <v>46080</v>
      </c>
    </row>
    <row r="382" spans="1:13" x14ac:dyDescent="0.4">
      <c r="A382" s="2" t="s">
        <v>381</v>
      </c>
      <c r="B382" s="2">
        <f>VALUE(REPLACE(CustomerTable[[#This Row],[Ticket]],1,3,""))</f>
        <v>643</v>
      </c>
      <c r="C382" s="2" t="s">
        <v>1023</v>
      </c>
      <c r="D382" s="2" t="s">
        <v>2392</v>
      </c>
      <c r="E382" s="2" t="s">
        <v>405</v>
      </c>
      <c r="F382" s="2" t="s">
        <v>398</v>
      </c>
      <c r="G382" s="2" t="str">
        <f>IF(CustomerTable[[#This Row],[Status]]="RESOLVED","Done",IF(CustomerTable[[#This Row],[Status]]="CLOSED","DONE",IF(CustomerTable[[#This Row],[Status]]="DEFERRED","Done","Pending")))</f>
        <v>Done</v>
      </c>
      <c r="H382" s="2" t="s">
        <v>1032</v>
      </c>
      <c r="I382" s="2" t="s">
        <v>390</v>
      </c>
      <c r="J382" s="2" t="s">
        <v>1411</v>
      </c>
      <c r="K382" s="16">
        <v>46035</v>
      </c>
      <c r="M382" s="16">
        <v>46092</v>
      </c>
    </row>
    <row r="383" spans="1:13" x14ac:dyDescent="0.4">
      <c r="A383" s="2" t="s">
        <v>382</v>
      </c>
      <c r="B383" s="2">
        <f>VALUE(REPLACE(CustomerTable[[#This Row],[Ticket]],1,3,""))</f>
        <v>644</v>
      </c>
      <c r="C383" s="2" t="s">
        <v>1023</v>
      </c>
      <c r="D383" s="2" t="s">
        <v>2393</v>
      </c>
      <c r="E383" s="2" t="s">
        <v>405</v>
      </c>
      <c r="F383" s="2" t="s">
        <v>398</v>
      </c>
      <c r="G383" s="2" t="str">
        <f>IF(CustomerTable[[#This Row],[Status]]="RESOLVED","Done",IF(CustomerTable[[#This Row],[Status]]="CLOSED","DONE",IF(CustomerTable[[#This Row],[Status]]="DEFERRED","Done","Pending")))</f>
        <v>Done</v>
      </c>
      <c r="H383" s="2" t="s">
        <v>1028</v>
      </c>
      <c r="I383" s="2" t="s">
        <v>391</v>
      </c>
      <c r="J383" s="2" t="s">
        <v>1412</v>
      </c>
      <c r="K383" s="16">
        <v>46035</v>
      </c>
      <c r="M383" s="16">
        <v>46114</v>
      </c>
    </row>
    <row r="384" spans="1:13" x14ac:dyDescent="0.4">
      <c r="A384" s="2" t="s">
        <v>383</v>
      </c>
      <c r="B384" s="2">
        <f>VALUE(REPLACE(CustomerTable[[#This Row],[Ticket]],1,3,""))</f>
        <v>645</v>
      </c>
      <c r="C384" s="2" t="s">
        <v>1023</v>
      </c>
      <c r="D384" s="2" t="s">
        <v>2394</v>
      </c>
      <c r="E384" s="2" t="s">
        <v>405</v>
      </c>
      <c r="F384" s="2" t="s">
        <v>398</v>
      </c>
      <c r="G384" s="2" t="str">
        <f>IF(CustomerTable[[#This Row],[Status]]="RESOLVED","Done",IF(CustomerTable[[#This Row],[Status]]="CLOSED","DONE",IF(CustomerTable[[#This Row],[Status]]="DEFERRED","Done","Pending")))</f>
        <v>Done</v>
      </c>
      <c r="H384" s="2" t="s">
        <v>11</v>
      </c>
      <c r="I384" s="2" t="s">
        <v>392</v>
      </c>
      <c r="J384" s="2" t="s">
        <v>1413</v>
      </c>
      <c r="K384" s="16">
        <v>46035</v>
      </c>
      <c r="M384" s="16">
        <v>46035</v>
      </c>
    </row>
    <row r="385" spans="1:13" x14ac:dyDescent="0.4">
      <c r="A385" s="2" t="s">
        <v>384</v>
      </c>
      <c r="B385" s="2">
        <f>VALUE(REPLACE(CustomerTable[[#This Row],[Ticket]],1,3,""))</f>
        <v>646</v>
      </c>
      <c r="C385" s="2" t="s">
        <v>1023</v>
      </c>
      <c r="D385" s="2" t="s">
        <v>2395</v>
      </c>
      <c r="E385" s="2" t="s">
        <v>405</v>
      </c>
      <c r="F385" s="2" t="s">
        <v>398</v>
      </c>
      <c r="G385" s="2" t="str">
        <f>IF(CustomerTable[[#This Row],[Status]]="RESOLVED","Done",IF(CustomerTable[[#This Row],[Status]]="CLOSED","DONE",IF(CustomerTable[[#This Row],[Status]]="DEFERRED","Done","Pending")))</f>
        <v>Done</v>
      </c>
      <c r="H385" s="2" t="s">
        <v>1028</v>
      </c>
      <c r="I385" s="2" t="s">
        <v>391</v>
      </c>
      <c r="J385" s="2" t="s">
        <v>1414</v>
      </c>
      <c r="K385" s="16">
        <v>46035</v>
      </c>
      <c r="M385" s="16">
        <v>46106</v>
      </c>
    </row>
    <row r="386" spans="1:13" x14ac:dyDescent="0.4">
      <c r="A386" s="2" t="s">
        <v>406</v>
      </c>
      <c r="B386" s="2">
        <f>VALUE(REPLACE(CustomerTable[[#This Row],[Ticket]],1,3,""))</f>
        <v>647</v>
      </c>
      <c r="C386" s="2" t="s">
        <v>1023</v>
      </c>
      <c r="D386" s="2" t="s">
        <v>2396</v>
      </c>
      <c r="E386" s="2" t="s">
        <v>405</v>
      </c>
      <c r="F386" s="2" t="s">
        <v>398</v>
      </c>
      <c r="G386" s="2" t="str">
        <f>IF(CustomerTable[[#This Row],[Status]]="RESOLVED","Done",IF(CustomerTable[[#This Row],[Status]]="CLOSED","DONE",IF(CustomerTable[[#This Row],[Status]]="DEFERRED","Done","Pending")))</f>
        <v>Done</v>
      </c>
      <c r="H386" s="2" t="s">
        <v>1032</v>
      </c>
      <c r="I386" s="2" t="s">
        <v>389</v>
      </c>
      <c r="J386" s="2" t="s">
        <v>1415</v>
      </c>
      <c r="K386" s="16">
        <v>46035</v>
      </c>
      <c r="M386" s="16">
        <v>46059</v>
      </c>
    </row>
    <row r="387" spans="1:13" x14ac:dyDescent="0.4">
      <c r="A387" s="2" t="s">
        <v>407</v>
      </c>
      <c r="B387" s="2">
        <f>VALUE(REPLACE(CustomerTable[[#This Row],[Ticket]],1,3,""))</f>
        <v>648</v>
      </c>
      <c r="C387" s="2" t="s">
        <v>1023</v>
      </c>
      <c r="D387" s="2" t="s">
        <v>2397</v>
      </c>
      <c r="E387" s="2" t="s">
        <v>405</v>
      </c>
      <c r="F387" s="2" t="s">
        <v>398</v>
      </c>
      <c r="G387" s="2" t="str">
        <f>IF(CustomerTable[[#This Row],[Status]]="RESOLVED","Done",IF(CustomerTable[[#This Row],[Status]]="CLOSED","DONE",IF(CustomerTable[[#This Row],[Status]]="DEFERRED","Done","Pending")))</f>
        <v>Done</v>
      </c>
      <c r="H387" s="2" t="s">
        <v>1028</v>
      </c>
      <c r="I387" s="2" t="s">
        <v>389</v>
      </c>
      <c r="J387" s="2" t="s">
        <v>1416</v>
      </c>
      <c r="K387" s="16">
        <v>46035</v>
      </c>
      <c r="M387" s="16">
        <v>46091</v>
      </c>
    </row>
    <row r="388" spans="1:13" x14ac:dyDescent="0.4">
      <c r="A388" s="2" t="s">
        <v>408</v>
      </c>
      <c r="B388" s="2">
        <f>VALUE(REPLACE(CustomerTable[[#This Row],[Ticket]],1,3,""))</f>
        <v>649</v>
      </c>
      <c r="C388" s="2" t="s">
        <v>1023</v>
      </c>
      <c r="D388" s="2" t="s">
        <v>2398</v>
      </c>
      <c r="E388" s="2" t="s">
        <v>399</v>
      </c>
      <c r="F388" s="2" t="s">
        <v>398</v>
      </c>
      <c r="G388" s="2" t="str">
        <f>IF(CustomerTable[[#This Row],[Status]]="RESOLVED","Done",IF(CustomerTable[[#This Row],[Status]]="CLOSED","DONE",IF(CustomerTable[[#This Row],[Status]]="DEFERRED","Done","Pending")))</f>
        <v>Done</v>
      </c>
      <c r="H388" s="2" t="s">
        <v>1028</v>
      </c>
      <c r="I388" s="2" t="s">
        <v>390</v>
      </c>
      <c r="J388" s="2" t="s">
        <v>1417</v>
      </c>
      <c r="K388" s="16">
        <v>46035</v>
      </c>
      <c r="M388" s="16">
        <v>46132</v>
      </c>
    </row>
    <row r="389" spans="1:13" x14ac:dyDescent="0.4">
      <c r="A389" s="2" t="s">
        <v>409</v>
      </c>
      <c r="B389" s="2">
        <f>VALUE(REPLACE(CustomerTable[[#This Row],[Ticket]],1,3,""))</f>
        <v>650</v>
      </c>
      <c r="C389" s="2" t="s">
        <v>1023</v>
      </c>
      <c r="D389" s="2" t="s">
        <v>2399</v>
      </c>
      <c r="E389" s="2" t="s">
        <v>405</v>
      </c>
      <c r="F389" s="2" t="s">
        <v>398</v>
      </c>
      <c r="G389" s="2" t="str">
        <f>IF(CustomerTable[[#This Row],[Status]]="RESOLVED","Done",IF(CustomerTable[[#This Row],[Status]]="CLOSED","DONE",IF(CustomerTable[[#This Row],[Status]]="DEFERRED","Done","Pending")))</f>
        <v>Done</v>
      </c>
      <c r="H389" s="2" t="s">
        <v>11</v>
      </c>
      <c r="I389" s="2" t="s">
        <v>394</v>
      </c>
      <c r="J389" s="2" t="s">
        <v>1418</v>
      </c>
      <c r="K389" s="16">
        <v>46035</v>
      </c>
      <c r="M389" s="16"/>
    </row>
    <row r="390" spans="1:13" x14ac:dyDescent="0.4">
      <c r="A390" s="2" t="s">
        <v>410</v>
      </c>
      <c r="B390" s="2">
        <f>VALUE(REPLACE(CustomerTable[[#This Row],[Ticket]],1,3,""))</f>
        <v>651</v>
      </c>
      <c r="C390" s="2" t="s">
        <v>1023</v>
      </c>
      <c r="D390" s="2" t="s">
        <v>2400</v>
      </c>
      <c r="E390" s="2" t="s">
        <v>399</v>
      </c>
      <c r="F390" s="2" t="s">
        <v>413</v>
      </c>
      <c r="G390" s="2" t="str">
        <f>IF(CustomerTable[[#This Row],[Status]]="RESOLVED","Done",IF(CustomerTable[[#This Row],[Status]]="CLOSED","DONE",IF(CustomerTable[[#This Row],[Status]]="DEFERRED","Done","Pending")))</f>
        <v>DONE</v>
      </c>
      <c r="H390" s="2" t="s">
        <v>11</v>
      </c>
      <c r="I390" s="2" t="s">
        <v>389</v>
      </c>
      <c r="J390" s="2" t="s">
        <v>1419</v>
      </c>
      <c r="K390" s="16">
        <v>46035</v>
      </c>
      <c r="M390" s="16"/>
    </row>
    <row r="391" spans="1:13" x14ac:dyDescent="0.4">
      <c r="A391" s="2" t="s">
        <v>411</v>
      </c>
      <c r="B391" s="2">
        <f>VALUE(REPLACE(CustomerTable[[#This Row],[Ticket]],1,3,""))</f>
        <v>652</v>
      </c>
      <c r="C391" s="2" t="s">
        <v>1023</v>
      </c>
      <c r="D391" s="2" t="s">
        <v>2401</v>
      </c>
      <c r="E391" s="2" t="s">
        <v>405</v>
      </c>
      <c r="F391" s="2" t="s">
        <v>398</v>
      </c>
      <c r="G391" s="2" t="str">
        <f>IF(CustomerTable[[#This Row],[Status]]="RESOLVED","Done",IF(CustomerTable[[#This Row],[Status]]="CLOSED","DONE",IF(CustomerTable[[#This Row],[Status]]="DEFERRED","Done","Pending")))</f>
        <v>Done</v>
      </c>
      <c r="I391" s="2" t="s">
        <v>392</v>
      </c>
      <c r="J391" s="2" t="s">
        <v>1420</v>
      </c>
      <c r="K391" s="16">
        <v>46035</v>
      </c>
      <c r="M391" s="16"/>
    </row>
    <row r="392" spans="1:13" x14ac:dyDescent="0.4">
      <c r="A392" s="2" t="s">
        <v>428</v>
      </c>
      <c r="B392" s="2">
        <f>VALUE(REPLACE(CustomerTable[[#This Row],[Ticket]],1,3,""))</f>
        <v>653</v>
      </c>
      <c r="C392" s="2" t="s">
        <v>1024</v>
      </c>
      <c r="D392" s="2" t="s">
        <v>2402</v>
      </c>
      <c r="E392" s="2" t="s">
        <v>405</v>
      </c>
      <c r="F392" s="2" t="s">
        <v>398</v>
      </c>
      <c r="G392" s="2" t="str">
        <f>IF(CustomerTable[[#This Row],[Status]]="RESOLVED","Done",IF(CustomerTable[[#This Row],[Status]]="CLOSED","DONE",IF(CustomerTable[[#This Row],[Status]]="DEFERRED","Done","Pending")))</f>
        <v>Done</v>
      </c>
      <c r="H392" s="2" t="s">
        <v>1028</v>
      </c>
      <c r="I392" s="2" t="s">
        <v>390</v>
      </c>
      <c r="J392" s="2" t="s">
        <v>1421</v>
      </c>
      <c r="K392" s="16">
        <v>46038</v>
      </c>
      <c r="M392" s="16">
        <v>46058</v>
      </c>
    </row>
    <row r="393" spans="1:13" x14ac:dyDescent="0.4">
      <c r="A393" s="2" t="s">
        <v>429</v>
      </c>
      <c r="B393" s="2">
        <f>VALUE(REPLACE(CustomerTable[[#This Row],[Ticket]],1,3,""))</f>
        <v>654</v>
      </c>
      <c r="C393" s="2" t="s">
        <v>1023</v>
      </c>
      <c r="D393" s="2" t="s">
        <v>2403</v>
      </c>
      <c r="E393" s="2" t="s">
        <v>405</v>
      </c>
      <c r="F393" s="2" t="s">
        <v>413</v>
      </c>
      <c r="G393" s="2" t="str">
        <f>IF(CustomerTable[[#This Row],[Status]]="RESOLVED","Done",IF(CustomerTable[[#This Row],[Status]]="CLOSED","DONE",IF(CustomerTable[[#This Row],[Status]]="DEFERRED","Done","Pending")))</f>
        <v>DONE</v>
      </c>
      <c r="H393" s="2" t="s">
        <v>11</v>
      </c>
      <c r="I393" s="2" t="s">
        <v>393</v>
      </c>
      <c r="J393" s="2" t="s">
        <v>1422</v>
      </c>
      <c r="K393" s="16">
        <v>46038</v>
      </c>
      <c r="M393" s="16">
        <v>46064</v>
      </c>
    </row>
    <row r="394" spans="1:13" x14ac:dyDescent="0.4">
      <c r="A394" s="2" t="s">
        <v>430</v>
      </c>
      <c r="B394" s="2">
        <f>VALUE(REPLACE(CustomerTable[[#This Row],[Ticket]],1,3,""))</f>
        <v>655</v>
      </c>
      <c r="C394" s="2" t="s">
        <v>1023</v>
      </c>
      <c r="D394" s="2" t="s">
        <v>2404</v>
      </c>
      <c r="E394" s="2" t="s">
        <v>405</v>
      </c>
      <c r="F394" s="2" t="s">
        <v>398</v>
      </c>
      <c r="G394" s="2" t="str">
        <f>IF(CustomerTable[[#This Row],[Status]]="RESOLVED","Done",IF(CustomerTable[[#This Row],[Status]]="CLOSED","DONE",IF(CustomerTable[[#This Row],[Status]]="DEFERRED","Done","Pending")))</f>
        <v>Done</v>
      </c>
      <c r="H394" s="2" t="s">
        <v>11</v>
      </c>
      <c r="I394" s="2" t="s">
        <v>393</v>
      </c>
      <c r="J394" s="2" t="s">
        <v>1423</v>
      </c>
      <c r="K394" s="16">
        <v>46038</v>
      </c>
      <c r="M394" s="16">
        <v>46065</v>
      </c>
    </row>
    <row r="395" spans="1:13" x14ac:dyDescent="0.4">
      <c r="A395" s="2" t="s">
        <v>431</v>
      </c>
      <c r="B395" s="2">
        <f>VALUE(REPLACE(CustomerTable[[#This Row],[Ticket]],1,3,""))</f>
        <v>656</v>
      </c>
      <c r="C395" s="2" t="s">
        <v>1023</v>
      </c>
      <c r="D395" s="2" t="s">
        <v>2405</v>
      </c>
      <c r="E395" s="2" t="s">
        <v>405</v>
      </c>
      <c r="F395" s="2" t="s">
        <v>398</v>
      </c>
      <c r="G395" s="2" t="str">
        <f>IF(CustomerTable[[#This Row],[Status]]="RESOLVED","Done",IF(CustomerTable[[#This Row],[Status]]="CLOSED","DONE",IF(CustomerTable[[#This Row],[Status]]="DEFERRED","Done","Pending")))</f>
        <v>Done</v>
      </c>
      <c r="H395" s="2" t="s">
        <v>11</v>
      </c>
      <c r="I395" s="2" t="s">
        <v>393</v>
      </c>
      <c r="J395" s="2" t="s">
        <v>1424</v>
      </c>
      <c r="K395" s="16">
        <v>46038</v>
      </c>
      <c r="M395" s="16">
        <v>46038</v>
      </c>
    </row>
    <row r="396" spans="1:13" x14ac:dyDescent="0.4">
      <c r="A396" s="2" t="s">
        <v>432</v>
      </c>
      <c r="B396" s="2">
        <f>VALUE(REPLACE(CustomerTable[[#This Row],[Ticket]],1,3,""))</f>
        <v>657</v>
      </c>
      <c r="C396" s="2" t="s">
        <v>1023</v>
      </c>
      <c r="D396" s="2" t="s">
        <v>2406</v>
      </c>
      <c r="E396" s="2" t="s">
        <v>405</v>
      </c>
      <c r="F396" s="2" t="s">
        <v>398</v>
      </c>
      <c r="G396" s="2" t="str">
        <f>IF(CustomerTable[[#This Row],[Status]]="RESOLVED","Done",IF(CustomerTable[[#This Row],[Status]]="CLOSED","DONE",IF(CustomerTable[[#This Row],[Status]]="DEFERRED","Done","Pending")))</f>
        <v>Done</v>
      </c>
      <c r="H396" s="2" t="s">
        <v>1028</v>
      </c>
      <c r="I396" s="2" t="s">
        <v>391</v>
      </c>
      <c r="J396" s="2" t="s">
        <v>1425</v>
      </c>
      <c r="K396" s="16">
        <v>46038</v>
      </c>
      <c r="M396" s="16">
        <v>46099</v>
      </c>
    </row>
    <row r="397" spans="1:13" x14ac:dyDescent="0.4">
      <c r="A397" s="2" t="s">
        <v>433</v>
      </c>
      <c r="B397" s="2">
        <f>VALUE(REPLACE(CustomerTable[[#This Row],[Ticket]],1,3,""))</f>
        <v>658</v>
      </c>
      <c r="C397" s="2" t="s">
        <v>1023</v>
      </c>
      <c r="D397" s="2" t="s">
        <v>2407</v>
      </c>
      <c r="E397" s="2" t="s">
        <v>405</v>
      </c>
      <c r="F397" s="2" t="s">
        <v>398</v>
      </c>
      <c r="G397" s="2" t="str">
        <f>IF(CustomerTable[[#This Row],[Status]]="RESOLVED","Done",IF(CustomerTable[[#This Row],[Status]]="CLOSED","DONE",IF(CustomerTable[[#This Row],[Status]]="DEFERRED","Done","Pending")))</f>
        <v>Done</v>
      </c>
      <c r="H397" s="2" t="s">
        <v>1032</v>
      </c>
      <c r="I397" s="2" t="s">
        <v>389</v>
      </c>
      <c r="J397" s="2" t="s">
        <v>1426</v>
      </c>
      <c r="K397" s="16">
        <v>46038</v>
      </c>
      <c r="M397" s="16">
        <v>46050</v>
      </c>
    </row>
    <row r="398" spans="1:13" x14ac:dyDescent="0.4">
      <c r="A398" s="2" t="s">
        <v>434</v>
      </c>
      <c r="B398" s="2">
        <f>VALUE(REPLACE(CustomerTable[[#This Row],[Ticket]],1,3,""))</f>
        <v>659</v>
      </c>
      <c r="C398" s="2" t="s">
        <v>1023</v>
      </c>
      <c r="D398" s="2" t="s">
        <v>2408</v>
      </c>
      <c r="E398" s="2" t="s">
        <v>405</v>
      </c>
      <c r="F398" s="2" t="s">
        <v>398</v>
      </c>
      <c r="G398" s="2" t="str">
        <f>IF(CustomerTable[[#This Row],[Status]]="RESOLVED","Done",IF(CustomerTable[[#This Row],[Status]]="CLOSED","DONE",IF(CustomerTable[[#This Row],[Status]]="DEFERRED","Done","Pending")))</f>
        <v>Done</v>
      </c>
      <c r="H398" s="2" t="s">
        <v>1032</v>
      </c>
      <c r="I398" s="2" t="s">
        <v>391</v>
      </c>
      <c r="J398" s="2" t="s">
        <v>1427</v>
      </c>
      <c r="K398" s="16">
        <v>46038</v>
      </c>
      <c r="M398" s="16">
        <v>46034</v>
      </c>
    </row>
    <row r="399" spans="1:13" x14ac:dyDescent="0.4">
      <c r="A399" s="2" t="s">
        <v>435</v>
      </c>
      <c r="B399" s="2">
        <f>VALUE(REPLACE(CustomerTable[[#This Row],[Ticket]],1,3,""))</f>
        <v>660</v>
      </c>
      <c r="C399" s="2" t="s">
        <v>1023</v>
      </c>
      <c r="D399" s="2" t="s">
        <v>2409</v>
      </c>
      <c r="E399" s="2" t="s">
        <v>405</v>
      </c>
      <c r="F399" s="2" t="s">
        <v>398</v>
      </c>
      <c r="G399" s="2" t="str">
        <f>IF(CustomerTable[[#This Row],[Status]]="RESOLVED","Done",IF(CustomerTable[[#This Row],[Status]]="CLOSED","DONE",IF(CustomerTable[[#This Row],[Status]]="DEFERRED","Done","Pending")))</f>
        <v>Done</v>
      </c>
      <c r="H399" s="2" t="s">
        <v>11</v>
      </c>
      <c r="I399" s="2" t="s">
        <v>393</v>
      </c>
      <c r="J399" s="2" t="s">
        <v>1428</v>
      </c>
      <c r="K399" s="16">
        <v>46038</v>
      </c>
      <c r="M399" s="16">
        <v>46038</v>
      </c>
    </row>
    <row r="400" spans="1:13" x14ac:dyDescent="0.4">
      <c r="A400" s="2" t="s">
        <v>436</v>
      </c>
      <c r="B400" s="2">
        <f>VALUE(REPLACE(CustomerTable[[#This Row],[Ticket]],1,3,""))</f>
        <v>661</v>
      </c>
      <c r="C400" s="2" t="s">
        <v>1024</v>
      </c>
      <c r="D400" s="2" t="s">
        <v>2410</v>
      </c>
      <c r="E400" s="2" t="s">
        <v>405</v>
      </c>
      <c r="F400" s="2" t="s">
        <v>398</v>
      </c>
      <c r="G400" s="2" t="str">
        <f>IF(CustomerTable[[#This Row],[Status]]="RESOLVED","Done",IF(CustomerTable[[#This Row],[Status]]="CLOSED","DONE",IF(CustomerTable[[#This Row],[Status]]="DEFERRED","Done","Pending")))</f>
        <v>Done</v>
      </c>
      <c r="H400" s="2" t="s">
        <v>1029</v>
      </c>
      <c r="I400" s="2" t="s">
        <v>391</v>
      </c>
      <c r="J400" s="2" t="s">
        <v>1429</v>
      </c>
      <c r="K400" s="16">
        <v>46038</v>
      </c>
      <c r="M400" s="16">
        <v>46126</v>
      </c>
    </row>
    <row r="401" spans="1:13" x14ac:dyDescent="0.4">
      <c r="A401" s="2" t="s">
        <v>437</v>
      </c>
      <c r="B401" s="2">
        <f>VALUE(REPLACE(CustomerTable[[#This Row],[Ticket]],1,3,""))</f>
        <v>662</v>
      </c>
      <c r="C401" s="2" t="s">
        <v>1024</v>
      </c>
      <c r="D401" s="2" t="s">
        <v>2411</v>
      </c>
      <c r="E401" s="2" t="s">
        <v>405</v>
      </c>
      <c r="F401" s="2" t="s">
        <v>398</v>
      </c>
      <c r="G401" s="2" t="str">
        <f>IF(CustomerTable[[#This Row],[Status]]="RESOLVED","Done",IF(CustomerTable[[#This Row],[Status]]="CLOSED","DONE",IF(CustomerTable[[#This Row],[Status]]="DEFERRED","Done","Pending")))</f>
        <v>Done</v>
      </c>
      <c r="H401" s="2" t="s">
        <v>1029</v>
      </c>
      <c r="I401" s="2" t="s">
        <v>395</v>
      </c>
      <c r="J401" s="2" t="s">
        <v>1430</v>
      </c>
      <c r="K401" s="16">
        <v>46038</v>
      </c>
      <c r="M401" s="16">
        <v>46085</v>
      </c>
    </row>
    <row r="402" spans="1:13" x14ac:dyDescent="0.4">
      <c r="A402" s="2" t="s">
        <v>438</v>
      </c>
      <c r="B402" s="2">
        <f>VALUE(REPLACE(CustomerTable[[#This Row],[Ticket]],1,3,""))</f>
        <v>663</v>
      </c>
      <c r="C402" s="2" t="s">
        <v>1024</v>
      </c>
      <c r="D402" s="2" t="s">
        <v>2412</v>
      </c>
      <c r="E402" s="2" t="s">
        <v>405</v>
      </c>
      <c r="F402" s="2" t="s">
        <v>398</v>
      </c>
      <c r="G402" s="2" t="str">
        <f>IF(CustomerTable[[#This Row],[Status]]="RESOLVED","Done",IF(CustomerTable[[#This Row],[Status]]="CLOSED","DONE",IF(CustomerTable[[#This Row],[Status]]="DEFERRED","Done","Pending")))</f>
        <v>Done</v>
      </c>
      <c r="H402" s="2" t="s">
        <v>1029</v>
      </c>
      <c r="I402" s="2" t="s">
        <v>395</v>
      </c>
      <c r="J402" s="2" t="s">
        <v>1431</v>
      </c>
      <c r="K402" s="16">
        <v>46038</v>
      </c>
      <c r="M402" s="16">
        <v>46086</v>
      </c>
    </row>
    <row r="403" spans="1:13" x14ac:dyDescent="0.4">
      <c r="A403" s="2" t="s">
        <v>439</v>
      </c>
      <c r="B403" s="2">
        <f>VALUE(REPLACE(CustomerTable[[#This Row],[Ticket]],1,3,""))</f>
        <v>664</v>
      </c>
      <c r="C403" s="2" t="s">
        <v>1024</v>
      </c>
      <c r="D403" s="2" t="s">
        <v>2413</v>
      </c>
      <c r="E403" s="2" t="s">
        <v>399</v>
      </c>
      <c r="F403" s="2" t="s">
        <v>398</v>
      </c>
      <c r="G403" s="2" t="str">
        <f>IF(CustomerTable[[#This Row],[Status]]="RESOLVED","Done",IF(CustomerTable[[#This Row],[Status]]="CLOSED","DONE",IF(CustomerTable[[#This Row],[Status]]="DEFERRED","Done","Pending")))</f>
        <v>Done</v>
      </c>
      <c r="H403" s="2" t="s">
        <v>1034</v>
      </c>
      <c r="I403" s="2" t="s">
        <v>395</v>
      </c>
      <c r="J403" s="2" t="s">
        <v>1432</v>
      </c>
      <c r="K403" s="16">
        <v>46038</v>
      </c>
      <c r="M403" s="16">
        <v>46146</v>
      </c>
    </row>
    <row r="404" spans="1:13" x14ac:dyDescent="0.4">
      <c r="A404" s="2" t="s">
        <v>440</v>
      </c>
      <c r="B404" s="2">
        <f>VALUE(REPLACE(CustomerTable[[#This Row],[Ticket]],1,3,""))</f>
        <v>665</v>
      </c>
      <c r="C404" s="2" t="s">
        <v>1023</v>
      </c>
      <c r="D404" s="2" t="s">
        <v>2414</v>
      </c>
      <c r="E404" s="2" t="s">
        <v>405</v>
      </c>
      <c r="F404" s="2" t="s">
        <v>398</v>
      </c>
      <c r="G404" s="2" t="str">
        <f>IF(CustomerTable[[#This Row],[Status]]="RESOLVED","Done",IF(CustomerTable[[#This Row],[Status]]="CLOSED","DONE",IF(CustomerTable[[#This Row],[Status]]="DEFERRED","Done","Pending")))</f>
        <v>Done</v>
      </c>
      <c r="H404" s="2" t="s">
        <v>11</v>
      </c>
      <c r="I404" s="2" t="s">
        <v>392</v>
      </c>
      <c r="J404" s="2" t="s">
        <v>1433</v>
      </c>
      <c r="K404" s="16">
        <v>46041</v>
      </c>
      <c r="M404" s="16">
        <v>46044</v>
      </c>
    </row>
    <row r="405" spans="1:13" x14ac:dyDescent="0.4">
      <c r="A405" s="2" t="s">
        <v>441</v>
      </c>
      <c r="B405" s="2">
        <f>VALUE(REPLACE(CustomerTable[[#This Row],[Ticket]],1,3,""))</f>
        <v>666</v>
      </c>
      <c r="C405" s="2" t="s">
        <v>1023</v>
      </c>
      <c r="D405" s="2" t="s">
        <v>2415</v>
      </c>
      <c r="E405" s="2" t="s">
        <v>405</v>
      </c>
      <c r="F405" s="2" t="s">
        <v>398</v>
      </c>
      <c r="G405" s="2" t="str">
        <f>IF(CustomerTable[[#This Row],[Status]]="RESOLVED","Done",IF(CustomerTable[[#This Row],[Status]]="CLOSED","DONE",IF(CustomerTable[[#This Row],[Status]]="DEFERRED","Done","Pending")))</f>
        <v>Done</v>
      </c>
      <c r="H405" s="2" t="s">
        <v>1028</v>
      </c>
      <c r="I405" s="2" t="s">
        <v>390</v>
      </c>
      <c r="J405" s="2" t="s">
        <v>1434</v>
      </c>
      <c r="K405" s="16">
        <v>46041</v>
      </c>
      <c r="M405" s="16">
        <v>46085</v>
      </c>
    </row>
    <row r="406" spans="1:13" x14ac:dyDescent="0.4">
      <c r="A406" s="2" t="s">
        <v>442</v>
      </c>
      <c r="B406" s="2">
        <f>VALUE(REPLACE(CustomerTable[[#This Row],[Ticket]],1,3,""))</f>
        <v>667</v>
      </c>
      <c r="C406" s="2" t="s">
        <v>1023</v>
      </c>
      <c r="D406" s="2" t="s">
        <v>2416</v>
      </c>
      <c r="E406" s="2" t="s">
        <v>405</v>
      </c>
      <c r="F406" s="2" t="s">
        <v>398</v>
      </c>
      <c r="G406" s="2" t="str">
        <f>IF(CustomerTable[[#This Row],[Status]]="RESOLVED","Done",IF(CustomerTable[[#This Row],[Status]]="CLOSED","DONE",IF(CustomerTable[[#This Row],[Status]]="DEFERRED","Done","Pending")))</f>
        <v>Done</v>
      </c>
      <c r="H406" s="2" t="s">
        <v>11</v>
      </c>
      <c r="I406" s="2" t="s">
        <v>394</v>
      </c>
      <c r="J406" s="2" t="s">
        <v>1435</v>
      </c>
      <c r="K406" s="16">
        <v>46041</v>
      </c>
      <c r="M406" s="16">
        <v>46099</v>
      </c>
    </row>
    <row r="407" spans="1:13" x14ac:dyDescent="0.4">
      <c r="A407" s="2" t="s">
        <v>443</v>
      </c>
      <c r="B407" s="2">
        <f>VALUE(REPLACE(CustomerTable[[#This Row],[Ticket]],1,3,""))</f>
        <v>668</v>
      </c>
      <c r="C407" s="2" t="s">
        <v>1023</v>
      </c>
      <c r="D407" s="2" t="s">
        <v>2417</v>
      </c>
      <c r="E407" s="2" t="s">
        <v>405</v>
      </c>
      <c r="F407" s="2" t="s">
        <v>398</v>
      </c>
      <c r="G407" s="2" t="str">
        <f>IF(CustomerTable[[#This Row],[Status]]="RESOLVED","Done",IF(CustomerTable[[#This Row],[Status]]="CLOSED","DONE",IF(CustomerTable[[#This Row],[Status]]="DEFERRED","Done","Pending")))</f>
        <v>Done</v>
      </c>
      <c r="H407" s="2" t="s">
        <v>11</v>
      </c>
      <c r="I407" s="2" t="s">
        <v>393</v>
      </c>
      <c r="J407" s="2" t="s">
        <v>1436</v>
      </c>
      <c r="K407" s="16">
        <v>46041</v>
      </c>
      <c r="M407" s="16">
        <v>46083</v>
      </c>
    </row>
    <row r="408" spans="1:13" x14ac:dyDescent="0.4">
      <c r="A408" s="2" t="s">
        <v>444</v>
      </c>
      <c r="B408" s="2">
        <f>VALUE(REPLACE(CustomerTable[[#This Row],[Ticket]],1,3,""))</f>
        <v>669</v>
      </c>
      <c r="C408" s="2" t="s">
        <v>1023</v>
      </c>
      <c r="D408" s="2" t="s">
        <v>2418</v>
      </c>
      <c r="E408" s="2" t="s">
        <v>405</v>
      </c>
      <c r="F408" s="2" t="s">
        <v>398</v>
      </c>
      <c r="G408" s="2" t="str">
        <f>IF(CustomerTable[[#This Row],[Status]]="RESOLVED","Done",IF(CustomerTable[[#This Row],[Status]]="CLOSED","DONE",IF(CustomerTable[[#This Row],[Status]]="DEFERRED","Done","Pending")))</f>
        <v>Done</v>
      </c>
      <c r="H408" s="2" t="s">
        <v>1032</v>
      </c>
      <c r="I408" s="2" t="s">
        <v>389</v>
      </c>
      <c r="J408" s="2" t="s">
        <v>1437</v>
      </c>
      <c r="K408" s="16">
        <v>46041</v>
      </c>
      <c r="M408" s="16">
        <v>46080</v>
      </c>
    </row>
    <row r="409" spans="1:13" x14ac:dyDescent="0.4">
      <c r="A409" s="2" t="s">
        <v>445</v>
      </c>
      <c r="B409" s="2">
        <f>VALUE(REPLACE(CustomerTable[[#This Row],[Ticket]],1,3,""))</f>
        <v>670</v>
      </c>
      <c r="C409" s="2" t="s">
        <v>1023</v>
      </c>
      <c r="D409" s="2" t="s">
        <v>2419</v>
      </c>
      <c r="E409" s="2" t="s">
        <v>405</v>
      </c>
      <c r="F409" s="2" t="s">
        <v>398</v>
      </c>
      <c r="G409" s="2" t="str">
        <f>IF(CustomerTable[[#This Row],[Status]]="RESOLVED","Done",IF(CustomerTable[[#This Row],[Status]]="CLOSED","DONE",IF(CustomerTable[[#This Row],[Status]]="DEFERRED","Done","Pending")))</f>
        <v>Done</v>
      </c>
      <c r="H409" s="2" t="s">
        <v>11</v>
      </c>
      <c r="I409" s="2" t="s">
        <v>392</v>
      </c>
      <c r="J409" s="2" t="s">
        <v>1438</v>
      </c>
      <c r="K409" s="16">
        <v>46041</v>
      </c>
      <c r="M409" s="16">
        <v>46041</v>
      </c>
    </row>
    <row r="410" spans="1:13" x14ac:dyDescent="0.4">
      <c r="A410" s="2" t="s">
        <v>446</v>
      </c>
      <c r="B410" s="2">
        <f>VALUE(REPLACE(CustomerTable[[#This Row],[Ticket]],1,3,""))</f>
        <v>671</v>
      </c>
      <c r="C410" s="2" t="s">
        <v>1023</v>
      </c>
      <c r="D410" s="2" t="s">
        <v>2420</v>
      </c>
      <c r="E410" s="2" t="s">
        <v>405</v>
      </c>
      <c r="F410" s="2" t="s">
        <v>398</v>
      </c>
      <c r="G410" s="2" t="str">
        <f>IF(CustomerTable[[#This Row],[Status]]="RESOLVED","Done",IF(CustomerTable[[#This Row],[Status]]="CLOSED","DONE",IF(CustomerTable[[#This Row],[Status]]="DEFERRED","Done","Pending")))</f>
        <v>Done</v>
      </c>
      <c r="H410" s="2" t="s">
        <v>1028</v>
      </c>
      <c r="I410" s="2" t="s">
        <v>395</v>
      </c>
      <c r="J410" s="2" t="s">
        <v>1439</v>
      </c>
      <c r="K410" s="16">
        <v>46041</v>
      </c>
      <c r="M410" s="16">
        <v>46126</v>
      </c>
    </row>
    <row r="411" spans="1:13" x14ac:dyDescent="0.4">
      <c r="A411" s="2" t="s">
        <v>447</v>
      </c>
      <c r="B411" s="2">
        <f>VALUE(REPLACE(CustomerTable[[#This Row],[Ticket]],1,3,""))</f>
        <v>672</v>
      </c>
      <c r="C411" s="2" t="s">
        <v>1023</v>
      </c>
      <c r="D411" s="2" t="s">
        <v>2421</v>
      </c>
      <c r="E411" s="2" t="s">
        <v>405</v>
      </c>
      <c r="F411" s="2" t="s">
        <v>398</v>
      </c>
      <c r="G411" s="2" t="str">
        <f>IF(CustomerTable[[#This Row],[Status]]="RESOLVED","Done",IF(CustomerTable[[#This Row],[Status]]="CLOSED","DONE",IF(CustomerTable[[#This Row],[Status]]="DEFERRED","Done","Pending")))</f>
        <v>Done</v>
      </c>
      <c r="H411" s="2" t="s">
        <v>1032</v>
      </c>
      <c r="I411" s="2" t="s">
        <v>389</v>
      </c>
      <c r="J411" s="2" t="s">
        <v>1440</v>
      </c>
      <c r="K411" s="16">
        <v>46041</v>
      </c>
      <c r="M411" s="16">
        <v>46049</v>
      </c>
    </row>
    <row r="412" spans="1:13" x14ac:dyDescent="0.4">
      <c r="A412" s="2" t="s">
        <v>448</v>
      </c>
      <c r="B412" s="2">
        <f>VALUE(REPLACE(CustomerTable[[#This Row],[Ticket]],1,3,""))</f>
        <v>673</v>
      </c>
      <c r="C412" s="2" t="s">
        <v>1023</v>
      </c>
      <c r="D412" s="2" t="s">
        <v>2422</v>
      </c>
      <c r="E412" s="2" t="s">
        <v>405</v>
      </c>
      <c r="F412" s="2" t="s">
        <v>398</v>
      </c>
      <c r="G412" s="2" t="str">
        <f>IF(CustomerTable[[#This Row],[Status]]="RESOLVED","Done",IF(CustomerTable[[#This Row],[Status]]="CLOSED","DONE",IF(CustomerTable[[#This Row],[Status]]="DEFERRED","Done","Pending")))</f>
        <v>Done</v>
      </c>
      <c r="H412" s="2" t="s">
        <v>11</v>
      </c>
      <c r="I412" s="2" t="s">
        <v>390</v>
      </c>
      <c r="J412" s="2" t="s">
        <v>1441</v>
      </c>
      <c r="K412" s="16">
        <v>46041</v>
      </c>
      <c r="M412" s="16">
        <v>46072</v>
      </c>
    </row>
    <row r="413" spans="1:13" x14ac:dyDescent="0.4">
      <c r="A413" s="2" t="s">
        <v>449</v>
      </c>
      <c r="B413" s="2">
        <f>VALUE(REPLACE(CustomerTable[[#This Row],[Ticket]],1,3,""))</f>
        <v>674</v>
      </c>
      <c r="C413" s="2" t="s">
        <v>1023</v>
      </c>
      <c r="D413" s="2" t="s">
        <v>2423</v>
      </c>
      <c r="E413" s="2" t="s">
        <v>405</v>
      </c>
      <c r="F413" s="2" t="s">
        <v>398</v>
      </c>
      <c r="G413" s="2" t="str">
        <f>IF(CustomerTable[[#This Row],[Status]]="RESOLVED","Done",IF(CustomerTable[[#This Row],[Status]]="CLOSED","DONE",IF(CustomerTable[[#This Row],[Status]]="DEFERRED","Done","Pending")))</f>
        <v>Done</v>
      </c>
      <c r="H413" s="2" t="s">
        <v>1032</v>
      </c>
      <c r="I413" s="2" t="s">
        <v>390</v>
      </c>
      <c r="J413" s="2" t="s">
        <v>1442</v>
      </c>
      <c r="K413" s="16">
        <v>46041</v>
      </c>
      <c r="M413" s="16">
        <v>46068</v>
      </c>
    </row>
    <row r="414" spans="1:13" x14ac:dyDescent="0.4">
      <c r="A414" s="2" t="s">
        <v>450</v>
      </c>
      <c r="B414" s="2">
        <f>VALUE(REPLACE(CustomerTable[[#This Row],[Ticket]],1,3,""))</f>
        <v>675</v>
      </c>
      <c r="C414" s="2" t="s">
        <v>1023</v>
      </c>
      <c r="D414" s="2" t="s">
        <v>2424</v>
      </c>
      <c r="E414" s="2" t="s">
        <v>405</v>
      </c>
      <c r="F414" s="2" t="s">
        <v>398</v>
      </c>
      <c r="G414" s="2" t="str">
        <f>IF(CustomerTable[[#This Row],[Status]]="RESOLVED","Done",IF(CustomerTable[[#This Row],[Status]]="CLOSED","DONE",IF(CustomerTable[[#This Row],[Status]]="DEFERRED","Done","Pending")))</f>
        <v>Done</v>
      </c>
      <c r="H414" s="2" t="s">
        <v>1032</v>
      </c>
      <c r="I414" s="2" t="s">
        <v>389</v>
      </c>
      <c r="J414" s="2" t="s">
        <v>1443</v>
      </c>
      <c r="K414" s="16">
        <v>46041</v>
      </c>
      <c r="M414" s="16">
        <v>46049</v>
      </c>
    </row>
    <row r="415" spans="1:13" x14ac:dyDescent="0.4">
      <c r="A415" s="2" t="s">
        <v>451</v>
      </c>
      <c r="B415" s="2">
        <f>VALUE(REPLACE(CustomerTable[[#This Row],[Ticket]],1,3,""))</f>
        <v>676</v>
      </c>
      <c r="C415" s="2" t="s">
        <v>1023</v>
      </c>
      <c r="D415" s="2" t="s">
        <v>2425</v>
      </c>
      <c r="E415" s="2" t="s">
        <v>405</v>
      </c>
      <c r="F415" s="2" t="s">
        <v>398</v>
      </c>
      <c r="G415" s="2" t="str">
        <f>IF(CustomerTable[[#This Row],[Status]]="RESOLVED","Done",IF(CustomerTable[[#This Row],[Status]]="CLOSED","DONE",IF(CustomerTable[[#This Row],[Status]]="DEFERRED","Done","Pending")))</f>
        <v>Done</v>
      </c>
      <c r="H415" s="2" t="s">
        <v>11</v>
      </c>
      <c r="I415" s="2" t="s">
        <v>390</v>
      </c>
      <c r="J415" s="2" t="s">
        <v>1444</v>
      </c>
      <c r="K415" s="16">
        <v>46041</v>
      </c>
      <c r="M415" s="16">
        <v>46041</v>
      </c>
    </row>
    <row r="416" spans="1:13" x14ac:dyDescent="0.4">
      <c r="A416" s="2" t="s">
        <v>452</v>
      </c>
      <c r="B416" s="2">
        <f>VALUE(REPLACE(CustomerTable[[#This Row],[Ticket]],1,3,""))</f>
        <v>677</v>
      </c>
      <c r="C416" s="2" t="s">
        <v>1024</v>
      </c>
      <c r="D416" s="2" t="s">
        <v>2426</v>
      </c>
      <c r="E416" s="2" t="s">
        <v>405</v>
      </c>
      <c r="F416" s="2" t="s">
        <v>398</v>
      </c>
      <c r="G416" s="2" t="str">
        <f>IF(CustomerTable[[#This Row],[Status]]="RESOLVED","Done",IF(CustomerTable[[#This Row],[Status]]="CLOSED","DONE",IF(CustomerTable[[#This Row],[Status]]="DEFERRED","Done","Pending")))</f>
        <v>Done</v>
      </c>
      <c r="H416" s="2" t="s">
        <v>1029</v>
      </c>
      <c r="I416" s="2" t="s">
        <v>393</v>
      </c>
      <c r="J416" s="2" t="s">
        <v>1445</v>
      </c>
      <c r="K416" s="16">
        <v>46042</v>
      </c>
      <c r="M416" s="16">
        <v>46092</v>
      </c>
    </row>
    <row r="417" spans="1:13" x14ac:dyDescent="0.4">
      <c r="A417" s="2" t="s">
        <v>453</v>
      </c>
      <c r="B417" s="2">
        <f>VALUE(REPLACE(CustomerTable[[#This Row],[Ticket]],1,3,""))</f>
        <v>678</v>
      </c>
      <c r="C417" s="2" t="s">
        <v>1024</v>
      </c>
      <c r="D417" s="2" t="s">
        <v>2427</v>
      </c>
      <c r="E417" s="2" t="s">
        <v>405</v>
      </c>
      <c r="F417" s="2" t="s">
        <v>398</v>
      </c>
      <c r="G417" s="2" t="str">
        <f>IF(CustomerTable[[#This Row],[Status]]="RESOLVED","Done",IF(CustomerTable[[#This Row],[Status]]="CLOSED","DONE",IF(CustomerTable[[#This Row],[Status]]="DEFERRED","Done","Pending")))</f>
        <v>Done</v>
      </c>
      <c r="H417" s="2" t="s">
        <v>1029</v>
      </c>
      <c r="I417" s="2" t="s">
        <v>392</v>
      </c>
      <c r="J417" s="2" t="s">
        <v>1446</v>
      </c>
      <c r="K417" s="16">
        <v>46042</v>
      </c>
      <c r="M417" s="16">
        <v>46100</v>
      </c>
    </row>
    <row r="418" spans="1:13" x14ac:dyDescent="0.4">
      <c r="A418" s="2" t="s">
        <v>454</v>
      </c>
      <c r="B418" s="2">
        <f>VALUE(REPLACE(CustomerTable[[#This Row],[Ticket]],1,3,""))</f>
        <v>679</v>
      </c>
      <c r="C418" s="2" t="s">
        <v>1024</v>
      </c>
      <c r="D418" s="2" t="s">
        <v>2428</v>
      </c>
      <c r="E418" s="2" t="s">
        <v>405</v>
      </c>
      <c r="F418" s="2" t="s">
        <v>398</v>
      </c>
      <c r="G418" s="2" t="str">
        <f>IF(CustomerTable[[#This Row],[Status]]="RESOLVED","Done",IF(CustomerTable[[#This Row],[Status]]="CLOSED","DONE",IF(CustomerTable[[#This Row],[Status]]="DEFERRED","Done","Pending")))</f>
        <v>Done</v>
      </c>
      <c r="H418" s="2" t="s">
        <v>1029</v>
      </c>
      <c r="I418" s="2" t="s">
        <v>391</v>
      </c>
      <c r="J418" s="2" t="s">
        <v>1447</v>
      </c>
      <c r="K418" s="16">
        <v>46042</v>
      </c>
      <c r="M418" s="16">
        <v>46126</v>
      </c>
    </row>
    <row r="419" spans="1:13" x14ac:dyDescent="0.4">
      <c r="A419" s="2" t="s">
        <v>455</v>
      </c>
      <c r="B419" s="2">
        <f>VALUE(REPLACE(CustomerTable[[#This Row],[Ticket]],1,3,""))</f>
        <v>680</v>
      </c>
      <c r="C419" s="2" t="s">
        <v>1024</v>
      </c>
      <c r="D419" s="2" t="s">
        <v>2429</v>
      </c>
      <c r="E419" s="2" t="s">
        <v>405</v>
      </c>
      <c r="F419" s="2" t="s">
        <v>398</v>
      </c>
      <c r="G419" s="2" t="str">
        <f>IF(CustomerTable[[#This Row],[Status]]="RESOLVED","Done",IF(CustomerTable[[#This Row],[Status]]="CLOSED","DONE",IF(CustomerTable[[#This Row],[Status]]="DEFERRED","Done","Pending")))</f>
        <v>Done</v>
      </c>
      <c r="H419" s="2" t="s">
        <v>1029</v>
      </c>
      <c r="I419" s="2" t="s">
        <v>393</v>
      </c>
      <c r="J419" s="2" t="s">
        <v>1448</v>
      </c>
      <c r="K419" s="16">
        <v>46042</v>
      </c>
      <c r="M419" s="16">
        <v>46093</v>
      </c>
    </row>
    <row r="420" spans="1:13" x14ac:dyDescent="0.4">
      <c r="A420" s="2" t="s">
        <v>456</v>
      </c>
      <c r="B420" s="2">
        <f>VALUE(REPLACE(CustomerTable[[#This Row],[Ticket]],1,3,""))</f>
        <v>681</v>
      </c>
      <c r="C420" s="2" t="s">
        <v>1023</v>
      </c>
      <c r="D420" s="2" t="s">
        <v>2430</v>
      </c>
      <c r="E420" s="2" t="s">
        <v>400</v>
      </c>
      <c r="F420" s="2" t="s">
        <v>413</v>
      </c>
      <c r="G420" s="2" t="str">
        <f>IF(CustomerTable[[#This Row],[Status]]="RESOLVED","Done",IF(CustomerTable[[#This Row],[Status]]="CLOSED","DONE",IF(CustomerTable[[#This Row],[Status]]="DEFERRED","Done","Pending")))</f>
        <v>DONE</v>
      </c>
      <c r="H420" s="2" t="s">
        <v>1032</v>
      </c>
      <c r="I420" s="2" t="s">
        <v>391</v>
      </c>
      <c r="J420" s="2" t="s">
        <v>1449</v>
      </c>
      <c r="K420" s="16">
        <v>46043</v>
      </c>
      <c r="M420" s="16"/>
    </row>
    <row r="421" spans="1:13" x14ac:dyDescent="0.4">
      <c r="A421" s="2" t="s">
        <v>457</v>
      </c>
      <c r="B421" s="2">
        <f>VALUE(REPLACE(CustomerTable[[#This Row],[Ticket]],1,3,""))</f>
        <v>682</v>
      </c>
      <c r="C421" s="2" t="s">
        <v>1023</v>
      </c>
      <c r="D421" s="2" t="s">
        <v>2431</v>
      </c>
      <c r="E421" s="2" t="s">
        <v>405</v>
      </c>
      <c r="F421" s="2" t="s">
        <v>398</v>
      </c>
      <c r="G421" s="2" t="str">
        <f>IF(CustomerTable[[#This Row],[Status]]="RESOLVED","Done",IF(CustomerTable[[#This Row],[Status]]="CLOSED","DONE",IF(CustomerTable[[#This Row],[Status]]="DEFERRED","Done","Pending")))</f>
        <v>Done</v>
      </c>
      <c r="H421" s="2" t="s">
        <v>11</v>
      </c>
      <c r="I421" s="2" t="s">
        <v>393</v>
      </c>
      <c r="J421" s="2" t="s">
        <v>1450</v>
      </c>
      <c r="K421" s="16">
        <v>46044</v>
      </c>
      <c r="M421" s="16">
        <v>46065</v>
      </c>
    </row>
    <row r="422" spans="1:13" x14ac:dyDescent="0.4">
      <c r="A422" s="2" t="s">
        <v>458</v>
      </c>
      <c r="B422" s="2">
        <f>VALUE(REPLACE(CustomerTable[[#This Row],[Ticket]],1,3,""))</f>
        <v>683</v>
      </c>
      <c r="C422" s="2" t="s">
        <v>1023</v>
      </c>
      <c r="D422" s="2" t="s">
        <v>2432</v>
      </c>
      <c r="E422" s="2" t="s">
        <v>405</v>
      </c>
      <c r="F422" s="2" t="s">
        <v>398</v>
      </c>
      <c r="G422" s="2" t="str">
        <f>IF(CustomerTable[[#This Row],[Status]]="RESOLVED","Done",IF(CustomerTable[[#This Row],[Status]]="CLOSED","DONE",IF(CustomerTable[[#This Row],[Status]]="DEFERRED","Done","Pending")))</f>
        <v>Done</v>
      </c>
      <c r="H422" s="2" t="s">
        <v>1032</v>
      </c>
      <c r="I422" s="2" t="s">
        <v>392</v>
      </c>
      <c r="J422" s="2" t="s">
        <v>1451</v>
      </c>
      <c r="K422" s="16">
        <v>46044</v>
      </c>
      <c r="M422" s="16">
        <v>46053</v>
      </c>
    </row>
    <row r="423" spans="1:13" x14ac:dyDescent="0.4">
      <c r="A423" s="2" t="s">
        <v>459</v>
      </c>
      <c r="B423" s="2">
        <f>VALUE(REPLACE(CustomerTable[[#This Row],[Ticket]],1,3,""))</f>
        <v>684</v>
      </c>
      <c r="C423" s="2" t="s">
        <v>1023</v>
      </c>
      <c r="D423" s="2" t="s">
        <v>2433</v>
      </c>
      <c r="E423" s="2" t="s">
        <v>405</v>
      </c>
      <c r="F423" s="2" t="s">
        <v>398</v>
      </c>
      <c r="G423" s="2" t="str">
        <f>IF(CustomerTable[[#This Row],[Status]]="RESOLVED","Done",IF(CustomerTable[[#This Row],[Status]]="CLOSED","DONE",IF(CustomerTable[[#This Row],[Status]]="DEFERRED","Done","Pending")))</f>
        <v>Done</v>
      </c>
      <c r="H423" s="2" t="s">
        <v>1032</v>
      </c>
      <c r="I423" s="2" t="s">
        <v>389</v>
      </c>
      <c r="J423" s="2" t="s">
        <v>1452</v>
      </c>
      <c r="K423" s="16">
        <v>46044</v>
      </c>
      <c r="M423" s="16">
        <v>46080</v>
      </c>
    </row>
    <row r="424" spans="1:13" x14ac:dyDescent="0.4">
      <c r="A424" s="2" t="s">
        <v>460</v>
      </c>
      <c r="B424" s="2">
        <f>VALUE(REPLACE(CustomerTable[[#This Row],[Ticket]],1,3,""))</f>
        <v>685</v>
      </c>
      <c r="C424" s="2" t="s">
        <v>1023</v>
      </c>
      <c r="D424" s="2" t="s">
        <v>2434</v>
      </c>
      <c r="E424" s="2" t="s">
        <v>405</v>
      </c>
      <c r="F424" s="2" t="s">
        <v>398</v>
      </c>
      <c r="G424" s="2" t="str">
        <f>IF(CustomerTable[[#This Row],[Status]]="RESOLVED","Done",IF(CustomerTable[[#This Row],[Status]]="CLOSED","DONE",IF(CustomerTable[[#This Row],[Status]]="DEFERRED","Done","Pending")))</f>
        <v>Done</v>
      </c>
      <c r="H424" s="2" t="s">
        <v>11</v>
      </c>
      <c r="I424" s="2" t="s">
        <v>393</v>
      </c>
      <c r="J424" s="2" t="s">
        <v>1453</v>
      </c>
      <c r="K424" s="16">
        <v>46044</v>
      </c>
      <c r="M424" s="16">
        <v>46064</v>
      </c>
    </row>
    <row r="425" spans="1:13" x14ac:dyDescent="0.4">
      <c r="A425" s="2" t="s">
        <v>461</v>
      </c>
      <c r="B425" s="2">
        <f>VALUE(REPLACE(CustomerTable[[#This Row],[Ticket]],1,3,""))</f>
        <v>686</v>
      </c>
      <c r="C425" s="2" t="s">
        <v>1023</v>
      </c>
      <c r="D425" s="2" t="s">
        <v>2435</v>
      </c>
      <c r="E425" s="2" t="s">
        <v>405</v>
      </c>
      <c r="F425" s="2" t="s">
        <v>398</v>
      </c>
      <c r="G425" s="2" t="str">
        <f>IF(CustomerTable[[#This Row],[Status]]="RESOLVED","Done",IF(CustomerTable[[#This Row],[Status]]="CLOSED","DONE",IF(CustomerTable[[#This Row],[Status]]="DEFERRED","Done","Pending")))</f>
        <v>Done</v>
      </c>
      <c r="H425" s="2" t="s">
        <v>1034</v>
      </c>
      <c r="I425" s="2" t="s">
        <v>390</v>
      </c>
      <c r="J425" s="2" t="s">
        <v>1454</v>
      </c>
      <c r="K425" s="16">
        <v>46044</v>
      </c>
      <c r="M425" s="16">
        <v>46132</v>
      </c>
    </row>
    <row r="426" spans="1:13" x14ac:dyDescent="0.4">
      <c r="A426" s="2" t="s">
        <v>462</v>
      </c>
      <c r="B426" s="2">
        <f>VALUE(REPLACE(CustomerTable[[#This Row],[Ticket]],1,3,""))</f>
        <v>687</v>
      </c>
      <c r="C426" s="2" t="s">
        <v>1023</v>
      </c>
      <c r="D426" s="2" t="s">
        <v>2436</v>
      </c>
      <c r="E426" s="2" t="s">
        <v>405</v>
      </c>
      <c r="F426" s="2" t="s">
        <v>398</v>
      </c>
      <c r="G426" s="2" t="str">
        <f>IF(CustomerTable[[#This Row],[Status]]="RESOLVED","Done",IF(CustomerTable[[#This Row],[Status]]="CLOSED","DONE",IF(CustomerTable[[#This Row],[Status]]="DEFERRED","Done","Pending")))</f>
        <v>Done</v>
      </c>
      <c r="H426" s="2" t="s">
        <v>1028</v>
      </c>
      <c r="I426" s="2" t="s">
        <v>392</v>
      </c>
      <c r="J426" s="2" t="s">
        <v>1455</v>
      </c>
      <c r="K426" s="16">
        <v>46044</v>
      </c>
      <c r="M426" s="16">
        <v>46112</v>
      </c>
    </row>
    <row r="427" spans="1:13" x14ac:dyDescent="0.4">
      <c r="A427" s="2" t="s">
        <v>463</v>
      </c>
      <c r="B427" s="2">
        <f>VALUE(REPLACE(CustomerTable[[#This Row],[Ticket]],1,3,""))</f>
        <v>688</v>
      </c>
      <c r="C427" s="2" t="s">
        <v>1023</v>
      </c>
      <c r="D427" s="2" t="s">
        <v>2437</v>
      </c>
      <c r="E427" s="2" t="s">
        <v>405</v>
      </c>
      <c r="F427" s="2" t="s">
        <v>413</v>
      </c>
      <c r="G427" s="2" t="str">
        <f>IF(CustomerTable[[#This Row],[Status]]="RESOLVED","Done",IF(CustomerTable[[#This Row],[Status]]="CLOSED","DONE",IF(CustomerTable[[#This Row],[Status]]="DEFERRED","Done","Pending")))</f>
        <v>DONE</v>
      </c>
      <c r="H427" s="2" t="s">
        <v>1032</v>
      </c>
      <c r="I427" s="2" t="s">
        <v>389</v>
      </c>
      <c r="J427" s="2" t="s">
        <v>1456</v>
      </c>
      <c r="K427" s="16">
        <v>46044</v>
      </c>
      <c r="M427" s="16">
        <v>46044</v>
      </c>
    </row>
    <row r="428" spans="1:13" x14ac:dyDescent="0.4">
      <c r="A428" s="2" t="s">
        <v>464</v>
      </c>
      <c r="B428" s="2">
        <f>VALUE(REPLACE(CustomerTable[[#This Row],[Ticket]],1,3,""))</f>
        <v>689</v>
      </c>
      <c r="C428" s="2" t="s">
        <v>1024</v>
      </c>
      <c r="D428" s="2" t="s">
        <v>2438</v>
      </c>
      <c r="E428" s="2" t="s">
        <v>405</v>
      </c>
      <c r="F428" s="2" t="s">
        <v>413</v>
      </c>
      <c r="G428" s="2" t="str">
        <f>IF(CustomerTable[[#This Row],[Status]]="RESOLVED","Done",IF(CustomerTable[[#This Row],[Status]]="CLOSED","DONE",IF(CustomerTable[[#This Row],[Status]]="DEFERRED","Done","Pending")))</f>
        <v>DONE</v>
      </c>
      <c r="I428" s="2" t="s">
        <v>393</v>
      </c>
      <c r="J428" s="2" t="s">
        <v>1457</v>
      </c>
      <c r="K428" s="16">
        <v>46044</v>
      </c>
      <c r="M428" s="16"/>
    </row>
    <row r="429" spans="1:13" x14ac:dyDescent="0.4">
      <c r="A429" s="2" t="s">
        <v>465</v>
      </c>
      <c r="B429" s="2">
        <f>VALUE(REPLACE(CustomerTable[[#This Row],[Ticket]],1,3,""))</f>
        <v>690</v>
      </c>
      <c r="C429" s="2" t="s">
        <v>1023</v>
      </c>
      <c r="D429" s="2" t="s">
        <v>2439</v>
      </c>
      <c r="E429" s="2" t="s">
        <v>399</v>
      </c>
      <c r="F429" s="2" t="s">
        <v>398</v>
      </c>
      <c r="G429" s="2" t="str">
        <f>IF(CustomerTable[[#This Row],[Status]]="RESOLVED","Done",IF(CustomerTable[[#This Row],[Status]]="CLOSED","DONE",IF(CustomerTable[[#This Row],[Status]]="DEFERRED","Done","Pending")))</f>
        <v>Done</v>
      </c>
      <c r="I429" s="2" t="s">
        <v>389</v>
      </c>
      <c r="J429" s="2" t="s">
        <v>1458</v>
      </c>
      <c r="K429" s="16">
        <v>46044</v>
      </c>
      <c r="M429" s="16"/>
    </row>
    <row r="430" spans="1:13" x14ac:dyDescent="0.4">
      <c r="A430" s="2" t="s">
        <v>466</v>
      </c>
      <c r="B430" s="2">
        <f>VALUE(REPLACE(CustomerTable[[#This Row],[Ticket]],1,3,""))</f>
        <v>691</v>
      </c>
      <c r="C430" s="2" t="s">
        <v>1023</v>
      </c>
      <c r="D430" s="2" t="s">
        <v>2440</v>
      </c>
      <c r="E430" s="2" t="s">
        <v>400</v>
      </c>
      <c r="F430" s="2" t="s">
        <v>398</v>
      </c>
      <c r="G430" s="2" t="str">
        <f>IF(CustomerTable[[#This Row],[Status]]="RESOLVED","Done",IF(CustomerTable[[#This Row],[Status]]="CLOSED","DONE",IF(CustomerTable[[#This Row],[Status]]="DEFERRED","Done","Pending")))</f>
        <v>Done</v>
      </c>
      <c r="H430" s="2" t="s">
        <v>1032</v>
      </c>
      <c r="I430" s="2" t="s">
        <v>390</v>
      </c>
      <c r="J430" s="2" t="s">
        <v>1459</v>
      </c>
      <c r="K430" s="16">
        <v>46044</v>
      </c>
      <c r="M430" s="16">
        <v>46139</v>
      </c>
    </row>
    <row r="431" spans="1:13" x14ac:dyDescent="0.4">
      <c r="A431" s="2" t="s">
        <v>467</v>
      </c>
      <c r="B431" s="2">
        <f>VALUE(REPLACE(CustomerTable[[#This Row],[Ticket]],1,3,""))</f>
        <v>692</v>
      </c>
      <c r="C431" s="2" t="s">
        <v>1023</v>
      </c>
      <c r="D431" s="2" t="s">
        <v>2441</v>
      </c>
      <c r="E431" s="2" t="s">
        <v>405</v>
      </c>
      <c r="F431" s="2" t="s">
        <v>398</v>
      </c>
      <c r="G431" s="2" t="str">
        <f>IF(CustomerTable[[#This Row],[Status]]="RESOLVED","Done",IF(CustomerTable[[#This Row],[Status]]="CLOSED","DONE",IF(CustomerTable[[#This Row],[Status]]="DEFERRED","Done","Pending")))</f>
        <v>Done</v>
      </c>
      <c r="H431" s="2" t="s">
        <v>11</v>
      </c>
      <c r="I431" s="2" t="s">
        <v>394</v>
      </c>
      <c r="J431" s="2" t="s">
        <v>1460</v>
      </c>
      <c r="K431" s="16">
        <v>46044</v>
      </c>
      <c r="M431" s="16">
        <v>46046</v>
      </c>
    </row>
    <row r="432" spans="1:13" x14ac:dyDescent="0.4">
      <c r="A432" s="2" t="s">
        <v>468</v>
      </c>
      <c r="B432" s="2">
        <f>VALUE(REPLACE(CustomerTable[[#This Row],[Ticket]],1,3,""))</f>
        <v>693</v>
      </c>
      <c r="C432" s="2" t="s">
        <v>1023</v>
      </c>
      <c r="D432" s="2" t="s">
        <v>2442</v>
      </c>
      <c r="E432" s="2" t="s">
        <v>405</v>
      </c>
      <c r="F432" s="2" t="s">
        <v>398</v>
      </c>
      <c r="G432" s="2" t="str">
        <f>IF(CustomerTable[[#This Row],[Status]]="RESOLVED","Done",IF(CustomerTable[[#This Row],[Status]]="CLOSED","DONE",IF(CustomerTable[[#This Row],[Status]]="DEFERRED","Done","Pending")))</f>
        <v>Done</v>
      </c>
      <c r="H432" s="2" t="s">
        <v>1032</v>
      </c>
      <c r="I432" s="2" t="s">
        <v>392</v>
      </c>
      <c r="J432" s="2" t="s">
        <v>1461</v>
      </c>
      <c r="K432" s="16">
        <v>46044</v>
      </c>
      <c r="M432" s="16">
        <v>46053</v>
      </c>
    </row>
    <row r="433" spans="1:13" x14ac:dyDescent="0.4">
      <c r="A433" s="2" t="s">
        <v>469</v>
      </c>
      <c r="B433" s="2">
        <f>VALUE(REPLACE(CustomerTable[[#This Row],[Ticket]],1,3,""))</f>
        <v>694</v>
      </c>
      <c r="C433" s="2" t="s">
        <v>1023</v>
      </c>
      <c r="D433" s="2" t="s">
        <v>2443</v>
      </c>
      <c r="E433" s="2" t="s">
        <v>405</v>
      </c>
      <c r="F433" s="2" t="s">
        <v>398</v>
      </c>
      <c r="G433" s="2" t="str">
        <f>IF(CustomerTable[[#This Row],[Status]]="RESOLVED","Done",IF(CustomerTable[[#This Row],[Status]]="CLOSED","DONE",IF(CustomerTable[[#This Row],[Status]]="DEFERRED","Done","Pending")))</f>
        <v>Done</v>
      </c>
      <c r="H433" s="2" t="s">
        <v>11</v>
      </c>
      <c r="I433" s="2" t="s">
        <v>391</v>
      </c>
      <c r="J433" s="2" t="s">
        <v>1462</v>
      </c>
      <c r="K433" s="16">
        <v>46044</v>
      </c>
      <c r="M433" s="16">
        <v>46065</v>
      </c>
    </row>
    <row r="434" spans="1:13" x14ac:dyDescent="0.4">
      <c r="A434" s="2" t="s">
        <v>470</v>
      </c>
      <c r="B434" s="2">
        <f>VALUE(REPLACE(CustomerTable[[#This Row],[Ticket]],1,3,""))</f>
        <v>695</v>
      </c>
      <c r="C434" s="2" t="s">
        <v>1023</v>
      </c>
      <c r="D434" s="2" t="s">
        <v>2444</v>
      </c>
      <c r="E434" s="2" t="s">
        <v>405</v>
      </c>
      <c r="F434" s="2" t="s">
        <v>398</v>
      </c>
      <c r="G434" s="2" t="str">
        <f>IF(CustomerTable[[#This Row],[Status]]="RESOLVED","Done",IF(CustomerTable[[#This Row],[Status]]="CLOSED","DONE",IF(CustomerTable[[#This Row],[Status]]="DEFERRED","Done","Pending")))</f>
        <v>Done</v>
      </c>
      <c r="H434" s="2" t="s">
        <v>1028</v>
      </c>
      <c r="I434" s="2" t="s">
        <v>389</v>
      </c>
      <c r="J434" s="2" t="s">
        <v>1463</v>
      </c>
      <c r="K434" s="16">
        <v>46046</v>
      </c>
      <c r="M434" s="16">
        <v>46087</v>
      </c>
    </row>
    <row r="435" spans="1:13" x14ac:dyDescent="0.4">
      <c r="A435" s="2" t="s">
        <v>471</v>
      </c>
      <c r="B435" s="2">
        <f>VALUE(REPLACE(CustomerTable[[#This Row],[Ticket]],1,3,""))</f>
        <v>696</v>
      </c>
      <c r="C435" s="2" t="s">
        <v>1023</v>
      </c>
      <c r="D435" s="2" t="s">
        <v>2445</v>
      </c>
      <c r="E435" s="2" t="s">
        <v>405</v>
      </c>
      <c r="F435" s="2" t="s">
        <v>398</v>
      </c>
      <c r="G435" s="2" t="str">
        <f>IF(CustomerTable[[#This Row],[Status]]="RESOLVED","Done",IF(CustomerTable[[#This Row],[Status]]="CLOSED","DONE",IF(CustomerTable[[#This Row],[Status]]="DEFERRED","Done","Pending")))</f>
        <v>Done</v>
      </c>
      <c r="H435" s="2" t="s">
        <v>11</v>
      </c>
      <c r="I435" s="2" t="s">
        <v>395</v>
      </c>
      <c r="J435" s="2" t="s">
        <v>1464</v>
      </c>
      <c r="K435" s="16">
        <v>46046</v>
      </c>
      <c r="M435" s="16">
        <v>46046</v>
      </c>
    </row>
    <row r="436" spans="1:13" x14ac:dyDescent="0.4">
      <c r="A436" s="2" t="s">
        <v>472</v>
      </c>
      <c r="B436" s="2">
        <f>VALUE(REPLACE(CustomerTable[[#This Row],[Ticket]],1,3,""))</f>
        <v>697</v>
      </c>
      <c r="C436" s="2" t="s">
        <v>1023</v>
      </c>
      <c r="D436" s="2" t="s">
        <v>2446</v>
      </c>
      <c r="E436" s="2" t="s">
        <v>405</v>
      </c>
      <c r="F436" s="2" t="s">
        <v>398</v>
      </c>
      <c r="G436" s="2" t="str">
        <f>IF(CustomerTable[[#This Row],[Status]]="RESOLVED","Done",IF(CustomerTable[[#This Row],[Status]]="CLOSED","DONE",IF(CustomerTable[[#This Row],[Status]]="DEFERRED","Done","Pending")))</f>
        <v>Done</v>
      </c>
      <c r="H436" s="2" t="s">
        <v>11</v>
      </c>
      <c r="I436" s="2" t="s">
        <v>390</v>
      </c>
      <c r="J436" s="2" t="s">
        <v>1465</v>
      </c>
      <c r="K436" s="16">
        <v>46046</v>
      </c>
      <c r="M436" s="16">
        <v>46071</v>
      </c>
    </row>
    <row r="437" spans="1:13" x14ac:dyDescent="0.4">
      <c r="A437" s="2" t="s">
        <v>473</v>
      </c>
      <c r="B437" s="2">
        <f>VALUE(REPLACE(CustomerTable[[#This Row],[Ticket]],1,3,""))</f>
        <v>698</v>
      </c>
      <c r="C437" s="2" t="s">
        <v>1023</v>
      </c>
      <c r="D437" s="2" t="s">
        <v>2447</v>
      </c>
      <c r="E437" s="2" t="s">
        <v>400</v>
      </c>
      <c r="F437" s="2" t="s">
        <v>398</v>
      </c>
      <c r="G437" s="2" t="str">
        <f>IF(CustomerTable[[#This Row],[Status]]="RESOLVED","Done",IF(CustomerTable[[#This Row],[Status]]="CLOSED","DONE",IF(CustomerTable[[#This Row],[Status]]="DEFERRED","Done","Pending")))</f>
        <v>Done</v>
      </c>
      <c r="I437" s="2" t="s">
        <v>392</v>
      </c>
      <c r="J437" s="2" t="s">
        <v>1466</v>
      </c>
      <c r="K437" s="16">
        <v>46046</v>
      </c>
      <c r="M437" s="16"/>
    </row>
    <row r="438" spans="1:13" x14ac:dyDescent="0.4">
      <c r="A438" s="2" t="s">
        <v>474</v>
      </c>
      <c r="B438" s="2">
        <f>VALUE(REPLACE(CustomerTable[[#This Row],[Ticket]],1,3,""))</f>
        <v>699</v>
      </c>
      <c r="C438" s="2" t="s">
        <v>1023</v>
      </c>
      <c r="D438" s="2" t="s">
        <v>2448</v>
      </c>
      <c r="E438" s="2" t="s">
        <v>405</v>
      </c>
      <c r="F438" s="2" t="s">
        <v>413</v>
      </c>
      <c r="G438" s="2" t="str">
        <f>IF(CustomerTable[[#This Row],[Status]]="RESOLVED","Done",IF(CustomerTable[[#This Row],[Status]]="CLOSED","DONE",IF(CustomerTable[[#This Row],[Status]]="DEFERRED","Done","Pending")))</f>
        <v>DONE</v>
      </c>
      <c r="H438" s="2" t="s">
        <v>11</v>
      </c>
      <c r="I438" s="2" t="s">
        <v>389</v>
      </c>
      <c r="J438" s="2" t="s">
        <v>1467</v>
      </c>
      <c r="K438" s="16">
        <v>46046</v>
      </c>
      <c r="M438" s="16">
        <v>46065</v>
      </c>
    </row>
    <row r="439" spans="1:13" x14ac:dyDescent="0.4">
      <c r="A439" s="2" t="s">
        <v>475</v>
      </c>
      <c r="B439" s="2">
        <f>VALUE(REPLACE(CustomerTable[[#This Row],[Ticket]],1,3,""))</f>
        <v>700</v>
      </c>
      <c r="C439" s="2" t="s">
        <v>1023</v>
      </c>
      <c r="D439" s="2" t="s">
        <v>2449</v>
      </c>
      <c r="E439" s="2" t="s">
        <v>405</v>
      </c>
      <c r="F439" s="2" t="s">
        <v>398</v>
      </c>
      <c r="G439" s="2" t="str">
        <f>IF(CustomerTable[[#This Row],[Status]]="RESOLVED","Done",IF(CustomerTable[[#This Row],[Status]]="CLOSED","DONE",IF(CustomerTable[[#This Row],[Status]]="DEFERRED","Done","Pending")))</f>
        <v>Done</v>
      </c>
      <c r="H439" s="2" t="s">
        <v>1025</v>
      </c>
      <c r="I439" s="2" t="s">
        <v>391</v>
      </c>
      <c r="J439" s="2" t="s">
        <v>1468</v>
      </c>
      <c r="K439" s="16">
        <v>46046</v>
      </c>
      <c r="M439" s="16">
        <v>46051</v>
      </c>
    </row>
    <row r="440" spans="1:13" x14ac:dyDescent="0.4">
      <c r="A440" s="2" t="s">
        <v>476</v>
      </c>
      <c r="B440" s="2">
        <f>VALUE(REPLACE(CustomerTable[[#This Row],[Ticket]],1,3,""))</f>
        <v>701</v>
      </c>
      <c r="C440" s="2" t="s">
        <v>1023</v>
      </c>
      <c r="D440" s="2" t="s">
        <v>2450</v>
      </c>
      <c r="E440" s="2" t="s">
        <v>405</v>
      </c>
      <c r="F440" s="2" t="s">
        <v>398</v>
      </c>
      <c r="G440" s="2" t="str">
        <f>IF(CustomerTable[[#This Row],[Status]]="RESOLVED","Done",IF(CustomerTable[[#This Row],[Status]]="CLOSED","DONE",IF(CustomerTable[[#This Row],[Status]]="DEFERRED","Done","Pending")))</f>
        <v>Done</v>
      </c>
      <c r="H440" s="2" t="s">
        <v>1025</v>
      </c>
      <c r="I440" s="2" t="s">
        <v>390</v>
      </c>
      <c r="J440" s="2" t="s">
        <v>1469</v>
      </c>
      <c r="K440" s="16">
        <v>46046</v>
      </c>
      <c r="M440" s="16">
        <v>46051</v>
      </c>
    </row>
    <row r="441" spans="1:13" x14ac:dyDescent="0.4">
      <c r="A441" s="2" t="s">
        <v>477</v>
      </c>
      <c r="B441" s="2">
        <f>VALUE(REPLACE(CustomerTable[[#This Row],[Ticket]],1,3,""))</f>
        <v>702</v>
      </c>
      <c r="C441" s="2" t="s">
        <v>1023</v>
      </c>
      <c r="D441" s="2" t="s">
        <v>2451</v>
      </c>
      <c r="E441" s="2" t="s">
        <v>405</v>
      </c>
      <c r="F441" s="2" t="s">
        <v>398</v>
      </c>
      <c r="G441" s="2" t="str">
        <f>IF(CustomerTable[[#This Row],[Status]]="RESOLVED","Done",IF(CustomerTable[[#This Row],[Status]]="CLOSED","DONE",IF(CustomerTable[[#This Row],[Status]]="DEFERRED","Done","Pending")))</f>
        <v>Done</v>
      </c>
      <c r="H441" s="2" t="s">
        <v>11</v>
      </c>
      <c r="I441" s="2" t="s">
        <v>393</v>
      </c>
      <c r="J441" s="2" t="s">
        <v>1470</v>
      </c>
      <c r="K441" s="16">
        <v>46046</v>
      </c>
      <c r="M441" s="16">
        <v>46046</v>
      </c>
    </row>
    <row r="442" spans="1:13" x14ac:dyDescent="0.4">
      <c r="A442" s="2" t="s">
        <v>478</v>
      </c>
      <c r="B442" s="2">
        <f>VALUE(REPLACE(CustomerTable[[#This Row],[Ticket]],1,3,""))</f>
        <v>703</v>
      </c>
      <c r="C442" s="2" t="s">
        <v>1024</v>
      </c>
      <c r="D442" s="2" t="s">
        <v>2452</v>
      </c>
      <c r="E442" s="2" t="s">
        <v>405</v>
      </c>
      <c r="F442" s="2" t="s">
        <v>398</v>
      </c>
      <c r="G442" s="2" t="str">
        <f>IF(CustomerTable[[#This Row],[Status]]="RESOLVED","Done",IF(CustomerTable[[#This Row],[Status]]="CLOSED","DONE",IF(CustomerTable[[#This Row],[Status]]="DEFERRED","Done","Pending")))</f>
        <v>Done</v>
      </c>
      <c r="H442" s="2" t="s">
        <v>1028</v>
      </c>
      <c r="I442" s="2" t="s">
        <v>389</v>
      </c>
      <c r="J442" s="2" t="s">
        <v>1471</v>
      </c>
      <c r="K442" s="16">
        <v>46046</v>
      </c>
      <c r="M442" s="16">
        <v>46058</v>
      </c>
    </row>
    <row r="443" spans="1:13" x14ac:dyDescent="0.4">
      <c r="A443" s="2" t="s">
        <v>479</v>
      </c>
      <c r="B443" s="2">
        <f>VALUE(REPLACE(CustomerTable[[#This Row],[Ticket]],1,3,""))</f>
        <v>704</v>
      </c>
      <c r="C443" s="2" t="s">
        <v>1023</v>
      </c>
      <c r="D443" s="2" t="s">
        <v>2453</v>
      </c>
      <c r="E443" s="2" t="s">
        <v>405</v>
      </c>
      <c r="F443" s="2" t="s">
        <v>398</v>
      </c>
      <c r="G443" s="2" t="str">
        <f>IF(CustomerTable[[#This Row],[Status]]="RESOLVED","Done",IF(CustomerTable[[#This Row],[Status]]="CLOSED","DONE",IF(CustomerTable[[#This Row],[Status]]="DEFERRED","Done","Pending")))</f>
        <v>Done</v>
      </c>
      <c r="H443" s="2" t="s">
        <v>11</v>
      </c>
      <c r="I443" s="2" t="s">
        <v>390</v>
      </c>
      <c r="J443" s="2" t="s">
        <v>1472</v>
      </c>
      <c r="K443" s="16">
        <v>46046</v>
      </c>
      <c r="M443" s="16">
        <v>46046</v>
      </c>
    </row>
    <row r="444" spans="1:13" x14ac:dyDescent="0.4">
      <c r="A444" s="2" t="s">
        <v>480</v>
      </c>
      <c r="B444" s="2">
        <f>VALUE(REPLACE(CustomerTable[[#This Row],[Ticket]],1,3,""))</f>
        <v>705</v>
      </c>
      <c r="C444" s="2" t="s">
        <v>1023</v>
      </c>
      <c r="D444" s="2" t="s">
        <v>2454</v>
      </c>
      <c r="E444" s="2" t="s">
        <v>405</v>
      </c>
      <c r="F444" s="2" t="s">
        <v>413</v>
      </c>
      <c r="G444" s="2" t="str">
        <f>IF(CustomerTable[[#This Row],[Status]]="RESOLVED","Done",IF(CustomerTable[[#This Row],[Status]]="CLOSED","DONE",IF(CustomerTable[[#This Row],[Status]]="DEFERRED","Done","Pending")))</f>
        <v>DONE</v>
      </c>
      <c r="H444" s="2" t="s">
        <v>1032</v>
      </c>
      <c r="I444" s="2" t="s">
        <v>389</v>
      </c>
      <c r="J444" s="2" t="s">
        <v>1473</v>
      </c>
      <c r="K444" s="16">
        <v>46046</v>
      </c>
      <c r="M444" s="16"/>
    </row>
    <row r="445" spans="1:13" x14ac:dyDescent="0.4">
      <c r="A445" s="2" t="s">
        <v>481</v>
      </c>
      <c r="B445" s="2">
        <f>VALUE(REPLACE(CustomerTable[[#This Row],[Ticket]],1,3,""))</f>
        <v>706</v>
      </c>
      <c r="C445" s="2" t="s">
        <v>1023</v>
      </c>
      <c r="D445" s="2" t="s">
        <v>2455</v>
      </c>
      <c r="E445" s="2" t="s">
        <v>405</v>
      </c>
      <c r="F445" s="2" t="s">
        <v>398</v>
      </c>
      <c r="G445" s="2" t="str">
        <f>IF(CustomerTable[[#This Row],[Status]]="RESOLVED","Done",IF(CustomerTable[[#This Row],[Status]]="CLOSED","DONE",IF(CustomerTable[[#This Row],[Status]]="DEFERRED","Done","Pending")))</f>
        <v>Done</v>
      </c>
      <c r="H445" s="2" t="s">
        <v>11</v>
      </c>
      <c r="I445" s="2" t="s">
        <v>392</v>
      </c>
      <c r="J445" s="2" t="s">
        <v>1474</v>
      </c>
      <c r="K445" s="16">
        <v>46049</v>
      </c>
      <c r="M445" s="16">
        <v>46049</v>
      </c>
    </row>
    <row r="446" spans="1:13" x14ac:dyDescent="0.4">
      <c r="A446" s="2" t="s">
        <v>482</v>
      </c>
      <c r="B446" s="2">
        <f>VALUE(REPLACE(CustomerTable[[#This Row],[Ticket]],1,3,""))</f>
        <v>707</v>
      </c>
      <c r="C446" s="2" t="s">
        <v>1023</v>
      </c>
      <c r="D446" s="2" t="s">
        <v>2456</v>
      </c>
      <c r="E446" s="2" t="s">
        <v>405</v>
      </c>
      <c r="F446" s="2" t="s">
        <v>398</v>
      </c>
      <c r="G446" s="2" t="str">
        <f>IF(CustomerTable[[#This Row],[Status]]="RESOLVED","Done",IF(CustomerTable[[#This Row],[Status]]="CLOSED","DONE",IF(CustomerTable[[#This Row],[Status]]="DEFERRED","Done","Pending")))</f>
        <v>Done</v>
      </c>
      <c r="H446" s="2" t="s">
        <v>1028</v>
      </c>
      <c r="I446" s="2" t="s">
        <v>390</v>
      </c>
      <c r="J446" s="2" t="s">
        <v>1475</v>
      </c>
      <c r="K446" s="16">
        <v>46049</v>
      </c>
      <c r="M446" s="16">
        <v>46128</v>
      </c>
    </row>
    <row r="447" spans="1:13" x14ac:dyDescent="0.4">
      <c r="A447" s="2" t="s">
        <v>483</v>
      </c>
      <c r="B447" s="2">
        <f>VALUE(REPLACE(CustomerTable[[#This Row],[Ticket]],1,3,""))</f>
        <v>708</v>
      </c>
      <c r="C447" s="2" t="s">
        <v>1023</v>
      </c>
      <c r="D447" s="2" t="s">
        <v>2457</v>
      </c>
      <c r="E447" s="2" t="s">
        <v>405</v>
      </c>
      <c r="F447" s="2" t="s">
        <v>398</v>
      </c>
      <c r="G447" s="2" t="str">
        <f>IF(CustomerTable[[#This Row],[Status]]="RESOLVED","Done",IF(CustomerTable[[#This Row],[Status]]="CLOSED","DONE",IF(CustomerTable[[#This Row],[Status]]="DEFERRED","Done","Pending")))</f>
        <v>Done</v>
      </c>
      <c r="H447" s="2" t="s">
        <v>11</v>
      </c>
      <c r="I447" s="2" t="s">
        <v>392</v>
      </c>
      <c r="J447" s="2" t="s">
        <v>1476</v>
      </c>
      <c r="K447" s="16">
        <v>46049</v>
      </c>
      <c r="M447" s="16">
        <v>46049</v>
      </c>
    </row>
    <row r="448" spans="1:13" x14ac:dyDescent="0.4">
      <c r="A448" s="2" t="s">
        <v>484</v>
      </c>
      <c r="B448" s="2">
        <f>VALUE(REPLACE(CustomerTable[[#This Row],[Ticket]],1,3,""))</f>
        <v>709</v>
      </c>
      <c r="C448" s="2" t="s">
        <v>1023</v>
      </c>
      <c r="D448" s="2" t="s">
        <v>2458</v>
      </c>
      <c r="E448" s="2" t="s">
        <v>405</v>
      </c>
      <c r="F448" s="2" t="s">
        <v>398</v>
      </c>
      <c r="G448" s="2" t="str">
        <f>IF(CustomerTable[[#This Row],[Status]]="RESOLVED","Done",IF(CustomerTable[[#This Row],[Status]]="CLOSED","DONE",IF(CustomerTable[[#This Row],[Status]]="DEFERRED","Done","Pending")))</f>
        <v>Done</v>
      </c>
      <c r="H448" s="2" t="s">
        <v>1032</v>
      </c>
      <c r="I448" s="2" t="s">
        <v>393</v>
      </c>
      <c r="J448" s="2" t="s">
        <v>1477</v>
      </c>
      <c r="K448" s="16">
        <v>46049</v>
      </c>
      <c r="M448" s="16">
        <v>46064</v>
      </c>
    </row>
    <row r="449" spans="1:13" x14ac:dyDescent="0.4">
      <c r="A449" s="2" t="s">
        <v>485</v>
      </c>
      <c r="B449" s="2">
        <f>VALUE(REPLACE(CustomerTable[[#This Row],[Ticket]],1,3,""))</f>
        <v>710</v>
      </c>
      <c r="C449" s="2" t="s">
        <v>1023</v>
      </c>
      <c r="D449" s="2" t="s">
        <v>2459</v>
      </c>
      <c r="E449" s="2" t="s">
        <v>399</v>
      </c>
      <c r="F449" s="2" t="s">
        <v>398</v>
      </c>
      <c r="G449" s="2" t="str">
        <f>IF(CustomerTable[[#This Row],[Status]]="RESOLVED","Done",IF(CustomerTable[[#This Row],[Status]]="CLOSED","DONE",IF(CustomerTable[[#This Row],[Status]]="DEFERRED","Done","Pending")))</f>
        <v>Done</v>
      </c>
      <c r="H449" s="2" t="s">
        <v>1028</v>
      </c>
      <c r="I449" s="2" t="s">
        <v>392</v>
      </c>
      <c r="J449" s="2" t="s">
        <v>1478</v>
      </c>
      <c r="K449" s="16">
        <v>46050</v>
      </c>
      <c r="M449" s="16">
        <v>46122</v>
      </c>
    </row>
    <row r="450" spans="1:13" x14ac:dyDescent="0.4">
      <c r="A450" s="2" t="s">
        <v>486</v>
      </c>
      <c r="B450" s="2">
        <f>VALUE(REPLACE(CustomerTable[[#This Row],[Ticket]],1,3,""))</f>
        <v>711</v>
      </c>
      <c r="C450" s="2" t="s">
        <v>1023</v>
      </c>
      <c r="D450" s="2" t="s">
        <v>2460</v>
      </c>
      <c r="E450" s="2" t="s">
        <v>405</v>
      </c>
      <c r="F450" s="2" t="s">
        <v>398</v>
      </c>
      <c r="G450" s="2" t="str">
        <f>IF(CustomerTable[[#This Row],[Status]]="RESOLVED","Done",IF(CustomerTable[[#This Row],[Status]]="CLOSED","DONE",IF(CustomerTable[[#This Row],[Status]]="DEFERRED","Done","Pending")))</f>
        <v>Done</v>
      </c>
      <c r="H450" s="2" t="s">
        <v>1028</v>
      </c>
      <c r="I450" s="2" t="s">
        <v>394</v>
      </c>
      <c r="J450" s="2" t="s">
        <v>1479</v>
      </c>
      <c r="K450" s="16">
        <v>46050</v>
      </c>
      <c r="M450" s="16">
        <v>46111</v>
      </c>
    </row>
    <row r="451" spans="1:13" x14ac:dyDescent="0.4">
      <c r="A451" s="2" t="s">
        <v>487</v>
      </c>
      <c r="B451" s="2">
        <f>VALUE(REPLACE(CustomerTable[[#This Row],[Ticket]],1,3,""))</f>
        <v>712</v>
      </c>
      <c r="C451" s="2" t="s">
        <v>1023</v>
      </c>
      <c r="D451" s="2" t="s">
        <v>2461</v>
      </c>
      <c r="E451" s="2" t="s">
        <v>405</v>
      </c>
      <c r="F451" s="2" t="s">
        <v>398</v>
      </c>
      <c r="G451" s="2" t="str">
        <f>IF(CustomerTable[[#This Row],[Status]]="RESOLVED","Done",IF(CustomerTable[[#This Row],[Status]]="CLOSED","DONE",IF(CustomerTable[[#This Row],[Status]]="DEFERRED","Done","Pending")))</f>
        <v>Done</v>
      </c>
      <c r="H451" s="2" t="s">
        <v>1028</v>
      </c>
      <c r="I451" s="2" t="s">
        <v>389</v>
      </c>
      <c r="J451" s="2" t="s">
        <v>1480</v>
      </c>
      <c r="K451" s="16">
        <v>46050</v>
      </c>
      <c r="M451" s="16">
        <v>46087</v>
      </c>
    </row>
    <row r="452" spans="1:13" x14ac:dyDescent="0.4">
      <c r="A452" s="2" t="s">
        <v>488</v>
      </c>
      <c r="B452" s="2">
        <f>VALUE(REPLACE(CustomerTable[[#This Row],[Ticket]],1,3,""))</f>
        <v>713</v>
      </c>
      <c r="C452" s="2" t="s">
        <v>1023</v>
      </c>
      <c r="D452" s="2" t="s">
        <v>2462</v>
      </c>
      <c r="E452" s="2" t="s">
        <v>399</v>
      </c>
      <c r="F452" s="2" t="s">
        <v>413</v>
      </c>
      <c r="G452" s="2" t="str">
        <f>IF(CustomerTable[[#This Row],[Status]]="RESOLVED","Done",IF(CustomerTable[[#This Row],[Status]]="CLOSED","DONE",IF(CustomerTable[[#This Row],[Status]]="DEFERRED","Done","Pending")))</f>
        <v>DONE</v>
      </c>
      <c r="H452" s="2" t="s">
        <v>1028</v>
      </c>
      <c r="I452" s="2" t="s">
        <v>389</v>
      </c>
      <c r="J452" s="2" t="s">
        <v>1481</v>
      </c>
      <c r="K452" s="16">
        <v>46052</v>
      </c>
      <c r="M452" s="16"/>
    </row>
    <row r="453" spans="1:13" x14ac:dyDescent="0.4">
      <c r="A453" s="2" t="s">
        <v>489</v>
      </c>
      <c r="B453" s="2">
        <f>VALUE(REPLACE(CustomerTable[[#This Row],[Ticket]],1,3,""))</f>
        <v>714</v>
      </c>
      <c r="C453" s="2" t="s">
        <v>1023</v>
      </c>
      <c r="D453" s="2" t="s">
        <v>2463</v>
      </c>
      <c r="E453" s="2" t="s">
        <v>405</v>
      </c>
      <c r="F453" s="2" t="s">
        <v>398</v>
      </c>
      <c r="G453" s="2" t="str">
        <f>IF(CustomerTable[[#This Row],[Status]]="RESOLVED","Done",IF(CustomerTable[[#This Row],[Status]]="CLOSED","DONE",IF(CustomerTable[[#This Row],[Status]]="DEFERRED","Done","Pending")))</f>
        <v>Done</v>
      </c>
      <c r="H453" s="2" t="s">
        <v>11</v>
      </c>
      <c r="I453" s="2" t="s">
        <v>390</v>
      </c>
      <c r="J453" s="2" t="s">
        <v>1482</v>
      </c>
      <c r="K453" s="16">
        <v>46052</v>
      </c>
      <c r="M453" s="16">
        <v>46052</v>
      </c>
    </row>
    <row r="454" spans="1:13" x14ac:dyDescent="0.4">
      <c r="A454" s="2" t="s">
        <v>490</v>
      </c>
      <c r="B454" s="2">
        <f>VALUE(REPLACE(CustomerTable[[#This Row],[Ticket]],1,3,""))</f>
        <v>715</v>
      </c>
      <c r="C454" s="2" t="s">
        <v>1023</v>
      </c>
      <c r="D454" s="2" t="s">
        <v>2464</v>
      </c>
      <c r="E454" s="2" t="s">
        <v>405</v>
      </c>
      <c r="F454" s="2" t="s">
        <v>413</v>
      </c>
      <c r="G454" s="2" t="str">
        <f>IF(CustomerTable[[#This Row],[Status]]="RESOLVED","Done",IF(CustomerTable[[#This Row],[Status]]="CLOSED","DONE",IF(CustomerTable[[#This Row],[Status]]="DEFERRED","Done","Pending")))</f>
        <v>DONE</v>
      </c>
      <c r="H454" s="2" t="s">
        <v>11</v>
      </c>
      <c r="I454" s="2" t="s">
        <v>391</v>
      </c>
      <c r="J454" s="2" t="s">
        <v>1483</v>
      </c>
      <c r="K454" s="16">
        <v>46052</v>
      </c>
      <c r="M454" s="16">
        <v>46052</v>
      </c>
    </row>
    <row r="455" spans="1:13" x14ac:dyDescent="0.4">
      <c r="A455" s="2" t="s">
        <v>491</v>
      </c>
      <c r="B455" s="2">
        <f>VALUE(REPLACE(CustomerTable[[#This Row],[Ticket]],1,3,""))</f>
        <v>716</v>
      </c>
      <c r="C455" s="2" t="s">
        <v>1023</v>
      </c>
      <c r="D455" s="2" t="s">
        <v>2465</v>
      </c>
      <c r="E455" s="2" t="s">
        <v>405</v>
      </c>
      <c r="F455" s="2" t="s">
        <v>398</v>
      </c>
      <c r="G455" s="2" t="str">
        <f>IF(CustomerTable[[#This Row],[Status]]="RESOLVED","Done",IF(CustomerTable[[#This Row],[Status]]="CLOSED","DONE",IF(CustomerTable[[#This Row],[Status]]="DEFERRED","Done","Pending")))</f>
        <v>Done</v>
      </c>
      <c r="H455" s="2" t="s">
        <v>11</v>
      </c>
      <c r="I455" s="2" t="s">
        <v>395</v>
      </c>
      <c r="J455" s="2" t="s">
        <v>1484</v>
      </c>
      <c r="K455" s="16">
        <v>46052</v>
      </c>
      <c r="M455" s="16">
        <v>46072</v>
      </c>
    </row>
    <row r="456" spans="1:13" x14ac:dyDescent="0.4">
      <c r="A456" s="2" t="s">
        <v>492</v>
      </c>
      <c r="B456" s="2">
        <f>VALUE(REPLACE(CustomerTable[[#This Row],[Ticket]],1,3,""))</f>
        <v>717</v>
      </c>
      <c r="C456" s="2" t="s">
        <v>1023</v>
      </c>
      <c r="D456" s="2" t="s">
        <v>2466</v>
      </c>
      <c r="E456" s="2" t="s">
        <v>405</v>
      </c>
      <c r="F456" s="2" t="s">
        <v>398</v>
      </c>
      <c r="G456" s="2" t="str">
        <f>IF(CustomerTable[[#This Row],[Status]]="RESOLVED","Done",IF(CustomerTable[[#This Row],[Status]]="CLOSED","DONE",IF(CustomerTable[[#This Row],[Status]]="DEFERRED","Done","Pending")))</f>
        <v>Done</v>
      </c>
      <c r="H456" s="2" t="s">
        <v>1028</v>
      </c>
      <c r="I456" s="2" t="s">
        <v>389</v>
      </c>
      <c r="J456" s="2" t="s">
        <v>1485</v>
      </c>
      <c r="K456" s="16">
        <v>46052</v>
      </c>
      <c r="M456" s="16">
        <v>46080</v>
      </c>
    </row>
    <row r="457" spans="1:13" x14ac:dyDescent="0.4">
      <c r="A457" s="2" t="s">
        <v>493</v>
      </c>
      <c r="B457" s="2">
        <f>VALUE(REPLACE(CustomerTable[[#This Row],[Ticket]],1,3,""))</f>
        <v>718</v>
      </c>
      <c r="C457" s="2" t="s">
        <v>1023</v>
      </c>
      <c r="D457" s="2" t="s">
        <v>2467</v>
      </c>
      <c r="E457" s="2" t="s">
        <v>405</v>
      </c>
      <c r="F457" s="2" t="s">
        <v>398</v>
      </c>
      <c r="G457" s="2" t="str">
        <f>IF(CustomerTable[[#This Row],[Status]]="RESOLVED","Done",IF(CustomerTable[[#This Row],[Status]]="CLOSED","DONE",IF(CustomerTable[[#This Row],[Status]]="DEFERRED","Done","Pending")))</f>
        <v>Done</v>
      </c>
      <c r="H457" s="2" t="s">
        <v>1028</v>
      </c>
      <c r="I457" s="2" t="s">
        <v>389</v>
      </c>
      <c r="J457" s="2" t="s">
        <v>1486</v>
      </c>
      <c r="K457" s="16">
        <v>46052</v>
      </c>
      <c r="M457" s="16">
        <v>46114</v>
      </c>
    </row>
    <row r="458" spans="1:13" x14ac:dyDescent="0.4">
      <c r="A458" s="2" t="s">
        <v>494</v>
      </c>
      <c r="B458" s="2">
        <f>VALUE(REPLACE(CustomerTable[[#This Row],[Ticket]],1,3,""))</f>
        <v>719</v>
      </c>
      <c r="C458" s="2" t="s">
        <v>1023</v>
      </c>
      <c r="D458" s="2" t="s">
        <v>2468</v>
      </c>
      <c r="E458" s="2" t="s">
        <v>405</v>
      </c>
      <c r="F458" s="2" t="s">
        <v>398</v>
      </c>
      <c r="G458" s="2" t="str">
        <f>IF(CustomerTable[[#This Row],[Status]]="RESOLVED","Done",IF(CustomerTable[[#This Row],[Status]]="CLOSED","DONE",IF(CustomerTable[[#This Row],[Status]]="DEFERRED","Done","Pending")))</f>
        <v>Done</v>
      </c>
      <c r="H458" s="2" t="s">
        <v>1032</v>
      </c>
      <c r="I458" s="2" t="s">
        <v>390</v>
      </c>
      <c r="J458" s="2" t="s">
        <v>1487</v>
      </c>
      <c r="K458" s="16">
        <v>46052</v>
      </c>
      <c r="M458" s="16">
        <v>46034</v>
      </c>
    </row>
    <row r="459" spans="1:13" x14ac:dyDescent="0.4">
      <c r="A459" s="2" t="s">
        <v>495</v>
      </c>
      <c r="B459" s="2">
        <f>VALUE(REPLACE(CustomerTable[[#This Row],[Ticket]],1,3,""))</f>
        <v>720</v>
      </c>
      <c r="C459" s="2" t="s">
        <v>1023</v>
      </c>
      <c r="D459" s="2" t="s">
        <v>2469</v>
      </c>
      <c r="E459" s="2" t="s">
        <v>405</v>
      </c>
      <c r="F459" s="2" t="s">
        <v>398</v>
      </c>
      <c r="G459" s="2" t="str">
        <f>IF(CustomerTable[[#This Row],[Status]]="RESOLVED","Done",IF(CustomerTable[[#This Row],[Status]]="CLOSED","DONE",IF(CustomerTable[[#This Row],[Status]]="DEFERRED","Done","Pending")))</f>
        <v>Done</v>
      </c>
      <c r="H459" s="2" t="s">
        <v>11</v>
      </c>
      <c r="I459" s="2" t="s">
        <v>392</v>
      </c>
      <c r="J459" s="2" t="s">
        <v>1488</v>
      </c>
      <c r="K459" s="16">
        <v>46052</v>
      </c>
      <c r="M459" s="16">
        <v>46052</v>
      </c>
    </row>
    <row r="460" spans="1:13" x14ac:dyDescent="0.4">
      <c r="A460" s="2" t="s">
        <v>496</v>
      </c>
      <c r="B460" s="2">
        <f>VALUE(REPLACE(CustomerTable[[#This Row],[Ticket]],1,3,""))</f>
        <v>721</v>
      </c>
      <c r="C460" s="2" t="s">
        <v>1023</v>
      </c>
      <c r="D460" s="2" t="s">
        <v>2470</v>
      </c>
      <c r="E460" s="2" t="s">
        <v>399</v>
      </c>
      <c r="F460" s="2" t="s">
        <v>398</v>
      </c>
      <c r="G460" s="2" t="str">
        <f>IF(CustomerTable[[#This Row],[Status]]="RESOLVED","Done",IF(CustomerTable[[#This Row],[Status]]="CLOSED","DONE",IF(CustomerTable[[#This Row],[Status]]="DEFERRED","Done","Pending")))</f>
        <v>Done</v>
      </c>
      <c r="H460" s="2" t="s">
        <v>1028</v>
      </c>
      <c r="I460" s="2" t="s">
        <v>394</v>
      </c>
      <c r="J460" s="2" t="s">
        <v>1489</v>
      </c>
      <c r="K460" s="16">
        <v>46052</v>
      </c>
      <c r="M460" s="16"/>
    </row>
    <row r="461" spans="1:13" x14ac:dyDescent="0.4">
      <c r="A461" s="2" t="s">
        <v>497</v>
      </c>
      <c r="B461" s="2">
        <f>VALUE(REPLACE(CustomerTable[[#This Row],[Ticket]],1,3,""))</f>
        <v>722</v>
      </c>
      <c r="C461" s="2" t="s">
        <v>1023</v>
      </c>
      <c r="D461" s="2" t="s">
        <v>2471</v>
      </c>
      <c r="E461" s="2" t="s">
        <v>405</v>
      </c>
      <c r="F461" s="2" t="s">
        <v>398</v>
      </c>
      <c r="G461" s="2" t="str">
        <f>IF(CustomerTable[[#This Row],[Status]]="RESOLVED","Done",IF(CustomerTable[[#This Row],[Status]]="CLOSED","DONE",IF(CustomerTable[[#This Row],[Status]]="DEFERRED","Done","Pending")))</f>
        <v>Done</v>
      </c>
      <c r="H461" s="2" t="s">
        <v>1028</v>
      </c>
      <c r="I461" s="2" t="s">
        <v>393</v>
      </c>
      <c r="J461" s="2" t="s">
        <v>1490</v>
      </c>
      <c r="K461" s="16">
        <v>46055</v>
      </c>
      <c r="M461" s="16">
        <v>46112</v>
      </c>
    </row>
    <row r="462" spans="1:13" x14ac:dyDescent="0.4">
      <c r="A462" s="2" t="s">
        <v>498</v>
      </c>
      <c r="B462" s="2">
        <f>VALUE(REPLACE(CustomerTable[[#This Row],[Ticket]],1,3,""))</f>
        <v>723</v>
      </c>
      <c r="C462" s="2" t="s">
        <v>1023</v>
      </c>
      <c r="D462" s="2" t="s">
        <v>2472</v>
      </c>
      <c r="E462" s="2" t="s">
        <v>405</v>
      </c>
      <c r="F462" s="2" t="s">
        <v>398</v>
      </c>
      <c r="G462" s="2" t="str">
        <f>IF(CustomerTable[[#This Row],[Status]]="RESOLVED","Done",IF(CustomerTable[[#This Row],[Status]]="CLOSED","DONE",IF(CustomerTable[[#This Row],[Status]]="DEFERRED","Done","Pending")))</f>
        <v>Done</v>
      </c>
      <c r="H462" s="2" t="s">
        <v>1028</v>
      </c>
      <c r="I462" s="2" t="s">
        <v>391</v>
      </c>
      <c r="J462" s="2" t="s">
        <v>1491</v>
      </c>
      <c r="K462" s="16">
        <v>46055</v>
      </c>
      <c r="M462" s="16">
        <v>46094</v>
      </c>
    </row>
    <row r="463" spans="1:13" x14ac:dyDescent="0.4">
      <c r="A463" s="2" t="s">
        <v>499</v>
      </c>
      <c r="B463" s="2">
        <f>VALUE(REPLACE(CustomerTable[[#This Row],[Ticket]],1,3,""))</f>
        <v>724</v>
      </c>
      <c r="C463" s="2" t="s">
        <v>1023</v>
      </c>
      <c r="D463" s="2" t="s">
        <v>2473</v>
      </c>
      <c r="E463" s="2" t="s">
        <v>405</v>
      </c>
      <c r="F463" s="2" t="s">
        <v>398</v>
      </c>
      <c r="G463" s="2" t="str">
        <f>IF(CustomerTable[[#This Row],[Status]]="RESOLVED","Done",IF(CustomerTable[[#This Row],[Status]]="CLOSED","DONE",IF(CustomerTable[[#This Row],[Status]]="DEFERRED","Done","Pending")))</f>
        <v>Done</v>
      </c>
      <c r="H463" s="2" t="s">
        <v>11</v>
      </c>
      <c r="I463" s="2" t="s">
        <v>393</v>
      </c>
      <c r="J463" s="2" t="s">
        <v>1492</v>
      </c>
      <c r="K463" s="16">
        <v>46055</v>
      </c>
      <c r="M463" s="16"/>
    </row>
    <row r="464" spans="1:13" x14ac:dyDescent="0.4">
      <c r="A464" s="2" t="s">
        <v>500</v>
      </c>
      <c r="B464" s="2">
        <f>VALUE(REPLACE(CustomerTable[[#This Row],[Ticket]],1,3,""))</f>
        <v>725</v>
      </c>
      <c r="C464" s="2" t="s">
        <v>1023</v>
      </c>
      <c r="D464" s="2" t="s">
        <v>2474</v>
      </c>
      <c r="E464" s="2" t="s">
        <v>405</v>
      </c>
      <c r="F464" s="2" t="s">
        <v>398</v>
      </c>
      <c r="G464" s="2" t="str">
        <f>IF(CustomerTable[[#This Row],[Status]]="RESOLVED","Done",IF(CustomerTable[[#This Row],[Status]]="CLOSED","DONE",IF(CustomerTable[[#This Row],[Status]]="DEFERRED","Done","Pending")))</f>
        <v>Done</v>
      </c>
      <c r="H464" s="2" t="s">
        <v>11</v>
      </c>
      <c r="I464" s="2" t="s">
        <v>390</v>
      </c>
      <c r="J464" s="2" t="s">
        <v>1493</v>
      </c>
      <c r="K464" s="16">
        <v>46055</v>
      </c>
      <c r="M464" s="16">
        <v>46055</v>
      </c>
    </row>
    <row r="465" spans="1:13" x14ac:dyDescent="0.4">
      <c r="A465" s="2" t="s">
        <v>501</v>
      </c>
      <c r="B465" s="2">
        <f>VALUE(REPLACE(CustomerTable[[#This Row],[Ticket]],1,3,""))</f>
        <v>726</v>
      </c>
      <c r="C465" s="2" t="s">
        <v>1023</v>
      </c>
      <c r="D465" s="2" t="s">
        <v>2475</v>
      </c>
      <c r="E465" s="2" t="s">
        <v>405</v>
      </c>
      <c r="F465" s="2" t="s">
        <v>398</v>
      </c>
      <c r="G465" s="2" t="str">
        <f>IF(CustomerTable[[#This Row],[Status]]="RESOLVED","Done",IF(CustomerTable[[#This Row],[Status]]="CLOSED","DONE",IF(CustomerTable[[#This Row],[Status]]="DEFERRED","Done","Pending")))</f>
        <v>Done</v>
      </c>
      <c r="H465" s="2" t="s">
        <v>1028</v>
      </c>
      <c r="I465" s="2" t="s">
        <v>390</v>
      </c>
      <c r="J465" s="2" t="s">
        <v>1494</v>
      </c>
      <c r="K465" s="16">
        <v>46056</v>
      </c>
      <c r="M465" s="16">
        <v>46059</v>
      </c>
    </row>
    <row r="466" spans="1:13" x14ac:dyDescent="0.4">
      <c r="A466" s="2" t="s">
        <v>502</v>
      </c>
      <c r="B466" s="2">
        <f>VALUE(REPLACE(CustomerTable[[#This Row],[Ticket]],1,3,""))</f>
        <v>727</v>
      </c>
      <c r="C466" s="2" t="s">
        <v>1023</v>
      </c>
      <c r="D466" s="2" t="s">
        <v>2476</v>
      </c>
      <c r="E466" s="2" t="s">
        <v>405</v>
      </c>
      <c r="F466" s="2" t="s">
        <v>398</v>
      </c>
      <c r="G466" s="2" t="str">
        <f>IF(CustomerTable[[#This Row],[Status]]="RESOLVED","Done",IF(CustomerTable[[#This Row],[Status]]="CLOSED","DONE",IF(CustomerTable[[#This Row],[Status]]="DEFERRED","Done","Pending")))</f>
        <v>Done</v>
      </c>
      <c r="H466" s="2" t="s">
        <v>1028</v>
      </c>
      <c r="I466" s="2" t="s">
        <v>390</v>
      </c>
      <c r="J466" s="2" t="s">
        <v>1495</v>
      </c>
      <c r="K466" s="16">
        <v>46056</v>
      </c>
      <c r="M466" s="16">
        <v>46107</v>
      </c>
    </row>
    <row r="467" spans="1:13" x14ac:dyDescent="0.4">
      <c r="A467" s="2" t="s">
        <v>503</v>
      </c>
      <c r="B467" s="2">
        <f>VALUE(REPLACE(CustomerTable[[#This Row],[Ticket]],1,3,""))</f>
        <v>728</v>
      </c>
      <c r="C467" s="2" t="s">
        <v>1023</v>
      </c>
      <c r="D467" s="2" t="s">
        <v>2477</v>
      </c>
      <c r="E467" s="2" t="s">
        <v>405</v>
      </c>
      <c r="F467" s="2" t="s">
        <v>398</v>
      </c>
      <c r="G467" s="2" t="str">
        <f>IF(CustomerTable[[#This Row],[Status]]="RESOLVED","Done",IF(CustomerTable[[#This Row],[Status]]="CLOSED","DONE",IF(CustomerTable[[#This Row],[Status]]="DEFERRED","Done","Pending")))</f>
        <v>Done</v>
      </c>
      <c r="H467" s="2" t="s">
        <v>1032</v>
      </c>
      <c r="I467" s="2" t="s">
        <v>391</v>
      </c>
      <c r="J467" s="2" t="s">
        <v>1496</v>
      </c>
      <c r="K467" s="16">
        <v>46057</v>
      </c>
      <c r="M467" s="16">
        <v>46067</v>
      </c>
    </row>
    <row r="468" spans="1:13" x14ac:dyDescent="0.4">
      <c r="A468" s="2" t="s">
        <v>504</v>
      </c>
      <c r="B468" s="2">
        <f>VALUE(REPLACE(CustomerTable[[#This Row],[Ticket]],1,3,""))</f>
        <v>729</v>
      </c>
      <c r="C468" s="2" t="s">
        <v>1023</v>
      </c>
      <c r="D468" s="2" t="s">
        <v>2478</v>
      </c>
      <c r="E468" s="2" t="s">
        <v>405</v>
      </c>
      <c r="F468" s="2" t="s">
        <v>398</v>
      </c>
      <c r="G468" s="2" t="str">
        <f>IF(CustomerTable[[#This Row],[Status]]="RESOLVED","Done",IF(CustomerTable[[#This Row],[Status]]="CLOSED","DONE",IF(CustomerTable[[#This Row],[Status]]="DEFERRED","Done","Pending")))</f>
        <v>Done</v>
      </c>
      <c r="H468" s="2" t="s">
        <v>1032</v>
      </c>
      <c r="I468" s="2" t="s">
        <v>392</v>
      </c>
      <c r="J468" s="2" t="s">
        <v>1497</v>
      </c>
      <c r="K468" s="16">
        <v>46057</v>
      </c>
      <c r="M468" s="16">
        <v>46058</v>
      </c>
    </row>
    <row r="469" spans="1:13" x14ac:dyDescent="0.4">
      <c r="A469" s="2" t="s">
        <v>505</v>
      </c>
      <c r="B469" s="2">
        <f>VALUE(REPLACE(CustomerTable[[#This Row],[Ticket]],1,3,""))</f>
        <v>730</v>
      </c>
      <c r="C469" s="2" t="s">
        <v>1023</v>
      </c>
      <c r="D469" s="2" t="s">
        <v>2479</v>
      </c>
      <c r="E469" s="2" t="s">
        <v>405</v>
      </c>
      <c r="F469" s="2" t="s">
        <v>398</v>
      </c>
      <c r="G469" s="2" t="str">
        <f>IF(CustomerTable[[#This Row],[Status]]="RESOLVED","Done",IF(CustomerTable[[#This Row],[Status]]="CLOSED","DONE",IF(CustomerTable[[#This Row],[Status]]="DEFERRED","Done","Pending")))</f>
        <v>Done</v>
      </c>
      <c r="H469" s="2" t="s">
        <v>11</v>
      </c>
      <c r="I469" s="2" t="s">
        <v>390</v>
      </c>
      <c r="J469" s="2" t="s">
        <v>1498</v>
      </c>
      <c r="K469" s="16">
        <v>46057</v>
      </c>
      <c r="M469" s="16">
        <v>46060</v>
      </c>
    </row>
    <row r="470" spans="1:13" x14ac:dyDescent="0.4">
      <c r="A470" s="2" t="s">
        <v>506</v>
      </c>
      <c r="B470" s="2">
        <f>VALUE(REPLACE(CustomerTable[[#This Row],[Ticket]],1,3,""))</f>
        <v>731</v>
      </c>
      <c r="C470" s="2" t="s">
        <v>1023</v>
      </c>
      <c r="D470" s="2" t="s">
        <v>2480</v>
      </c>
      <c r="E470" s="2" t="s">
        <v>405</v>
      </c>
      <c r="F470" s="2" t="s">
        <v>398</v>
      </c>
      <c r="G470" s="2" t="str">
        <f>IF(CustomerTable[[#This Row],[Status]]="RESOLVED","Done",IF(CustomerTable[[#This Row],[Status]]="CLOSED","DONE",IF(CustomerTable[[#This Row],[Status]]="DEFERRED","Done","Pending")))</f>
        <v>Done</v>
      </c>
      <c r="H470" s="2" t="s">
        <v>1032</v>
      </c>
      <c r="I470" s="2" t="s">
        <v>389</v>
      </c>
      <c r="J470" s="2" t="s">
        <v>1499</v>
      </c>
      <c r="K470" s="16">
        <v>46057</v>
      </c>
      <c r="M470" s="16">
        <v>46059</v>
      </c>
    </row>
    <row r="471" spans="1:13" x14ac:dyDescent="0.4">
      <c r="A471" s="2" t="s">
        <v>507</v>
      </c>
      <c r="B471" s="2">
        <f>VALUE(REPLACE(CustomerTable[[#This Row],[Ticket]],1,3,""))</f>
        <v>732</v>
      </c>
      <c r="C471" s="2" t="s">
        <v>1023</v>
      </c>
      <c r="D471" s="2" t="s">
        <v>2481</v>
      </c>
      <c r="E471" s="2" t="s">
        <v>405</v>
      </c>
      <c r="F471" s="2" t="s">
        <v>413</v>
      </c>
      <c r="G471" s="2" t="str">
        <f>IF(CustomerTable[[#This Row],[Status]]="RESOLVED","Done",IF(CustomerTable[[#This Row],[Status]]="CLOSED","DONE",IF(CustomerTable[[#This Row],[Status]]="DEFERRED","Done","Pending")))</f>
        <v>DONE</v>
      </c>
      <c r="H471" s="2" t="s">
        <v>11</v>
      </c>
      <c r="I471" s="2" t="s">
        <v>390</v>
      </c>
      <c r="J471" s="2" t="s">
        <v>1500</v>
      </c>
      <c r="K471" s="16">
        <v>46061</v>
      </c>
      <c r="M471" s="16"/>
    </row>
    <row r="472" spans="1:13" x14ac:dyDescent="0.4">
      <c r="A472" s="2" t="s">
        <v>508</v>
      </c>
      <c r="B472" s="2">
        <f>VALUE(REPLACE(CustomerTable[[#This Row],[Ticket]],1,3,""))</f>
        <v>733</v>
      </c>
      <c r="C472" s="2" t="s">
        <v>1023</v>
      </c>
      <c r="D472" s="2" t="s">
        <v>2482</v>
      </c>
      <c r="E472" s="2" t="s">
        <v>405</v>
      </c>
      <c r="F472" s="2" t="s">
        <v>398</v>
      </c>
      <c r="G472" s="2" t="str">
        <f>IF(CustomerTable[[#This Row],[Status]]="RESOLVED","Done",IF(CustomerTable[[#This Row],[Status]]="CLOSED","DONE",IF(CustomerTable[[#This Row],[Status]]="DEFERRED","Done","Pending")))</f>
        <v>Done</v>
      </c>
      <c r="H472" s="2" t="s">
        <v>11</v>
      </c>
      <c r="I472" s="2" t="s">
        <v>392</v>
      </c>
      <c r="J472" s="2" t="s">
        <v>1501</v>
      </c>
      <c r="K472" s="16">
        <v>46061</v>
      </c>
      <c r="M472" s="16">
        <v>46064</v>
      </c>
    </row>
    <row r="473" spans="1:13" x14ac:dyDescent="0.4">
      <c r="A473" s="2" t="s">
        <v>509</v>
      </c>
      <c r="B473" s="2">
        <f>VALUE(REPLACE(CustomerTable[[#This Row],[Ticket]],1,3,""))</f>
        <v>734</v>
      </c>
      <c r="C473" s="2" t="s">
        <v>1023</v>
      </c>
      <c r="D473" s="2" t="s">
        <v>2483</v>
      </c>
      <c r="E473" s="2" t="s">
        <v>405</v>
      </c>
      <c r="F473" s="2" t="s">
        <v>398</v>
      </c>
      <c r="G473" s="2" t="str">
        <f>IF(CustomerTable[[#This Row],[Status]]="RESOLVED","Done",IF(CustomerTable[[#This Row],[Status]]="CLOSED","DONE",IF(CustomerTable[[#This Row],[Status]]="DEFERRED","Done","Pending")))</f>
        <v>Done</v>
      </c>
      <c r="H473" s="2" t="s">
        <v>1028</v>
      </c>
      <c r="I473" s="2" t="s">
        <v>389</v>
      </c>
      <c r="J473" s="2" t="s">
        <v>1502</v>
      </c>
      <c r="K473" s="16">
        <v>46061</v>
      </c>
      <c r="M473" s="16">
        <v>46085</v>
      </c>
    </row>
    <row r="474" spans="1:13" x14ac:dyDescent="0.4">
      <c r="A474" s="2" t="s">
        <v>510</v>
      </c>
      <c r="B474" s="2">
        <f>VALUE(REPLACE(CustomerTable[[#This Row],[Ticket]],1,3,""))</f>
        <v>735</v>
      </c>
      <c r="C474" s="2" t="s">
        <v>1023</v>
      </c>
      <c r="D474" s="2" t="s">
        <v>2484</v>
      </c>
      <c r="E474" s="2" t="s">
        <v>405</v>
      </c>
      <c r="F474" s="2" t="s">
        <v>398</v>
      </c>
      <c r="G474" s="2" t="str">
        <f>IF(CustomerTable[[#This Row],[Status]]="RESOLVED","Done",IF(CustomerTable[[#This Row],[Status]]="CLOSED","DONE",IF(CustomerTable[[#This Row],[Status]]="DEFERRED","Done","Pending")))</f>
        <v>Done</v>
      </c>
      <c r="H474" s="2" t="s">
        <v>1028</v>
      </c>
      <c r="I474" s="2" t="s">
        <v>391</v>
      </c>
      <c r="J474" s="2" t="s">
        <v>1503</v>
      </c>
      <c r="K474" s="16">
        <v>46061</v>
      </c>
      <c r="M474" s="16">
        <v>46105</v>
      </c>
    </row>
    <row r="475" spans="1:13" x14ac:dyDescent="0.4">
      <c r="A475" s="2" t="s">
        <v>511</v>
      </c>
      <c r="B475" s="2">
        <f>VALUE(REPLACE(CustomerTable[[#This Row],[Ticket]],1,3,""))</f>
        <v>736</v>
      </c>
      <c r="C475" s="2" t="s">
        <v>1023</v>
      </c>
      <c r="D475" s="2" t="s">
        <v>2485</v>
      </c>
      <c r="E475" s="2" t="s">
        <v>405</v>
      </c>
      <c r="F475" s="2" t="s">
        <v>398</v>
      </c>
      <c r="G475" s="2" t="str">
        <f>IF(CustomerTable[[#This Row],[Status]]="RESOLVED","Done",IF(CustomerTable[[#This Row],[Status]]="CLOSED","DONE",IF(CustomerTable[[#This Row],[Status]]="DEFERRED","Done","Pending")))</f>
        <v>Done</v>
      </c>
      <c r="H475" s="2" t="s">
        <v>11</v>
      </c>
      <c r="I475" s="2" t="s">
        <v>392</v>
      </c>
      <c r="J475" s="2" t="s">
        <v>1504</v>
      </c>
      <c r="K475" s="16">
        <v>46061</v>
      </c>
      <c r="M475" s="16">
        <v>46083</v>
      </c>
    </row>
    <row r="476" spans="1:13" x14ac:dyDescent="0.4">
      <c r="A476" s="2" t="s">
        <v>512</v>
      </c>
      <c r="B476" s="2">
        <f>VALUE(REPLACE(CustomerTable[[#This Row],[Ticket]],1,3,""))</f>
        <v>737</v>
      </c>
      <c r="C476" s="2" t="s">
        <v>1023</v>
      </c>
      <c r="D476" s="2" t="s">
        <v>2486</v>
      </c>
      <c r="E476" s="2" t="s">
        <v>405</v>
      </c>
      <c r="F476" s="2" t="s">
        <v>398</v>
      </c>
      <c r="G476" s="2" t="str">
        <f>IF(CustomerTable[[#This Row],[Status]]="RESOLVED","Done",IF(CustomerTable[[#This Row],[Status]]="CLOSED","DONE",IF(CustomerTable[[#This Row],[Status]]="DEFERRED","Done","Pending")))</f>
        <v>Done</v>
      </c>
      <c r="H476" s="2" t="s">
        <v>11</v>
      </c>
      <c r="I476" s="2" t="s">
        <v>393</v>
      </c>
      <c r="J476" s="2" t="s">
        <v>1505</v>
      </c>
      <c r="K476" s="16">
        <v>46061</v>
      </c>
      <c r="M476" s="16">
        <v>46064</v>
      </c>
    </row>
    <row r="477" spans="1:13" x14ac:dyDescent="0.4">
      <c r="A477" s="2" t="s">
        <v>513</v>
      </c>
      <c r="B477" s="2">
        <f>VALUE(REPLACE(CustomerTable[[#This Row],[Ticket]],1,3,""))</f>
        <v>738</v>
      </c>
      <c r="C477" s="2" t="s">
        <v>1023</v>
      </c>
      <c r="D477" s="2" t="s">
        <v>2487</v>
      </c>
      <c r="E477" s="2" t="s">
        <v>405</v>
      </c>
      <c r="F477" s="2" t="s">
        <v>398</v>
      </c>
      <c r="G477" s="2" t="str">
        <f>IF(CustomerTable[[#This Row],[Status]]="RESOLVED","Done",IF(CustomerTable[[#This Row],[Status]]="CLOSED","DONE",IF(CustomerTable[[#This Row],[Status]]="DEFERRED","Done","Pending")))</f>
        <v>Done</v>
      </c>
      <c r="H477" s="2" t="s">
        <v>11</v>
      </c>
      <c r="I477" s="2" t="s">
        <v>392</v>
      </c>
      <c r="J477" s="2" t="s">
        <v>1506</v>
      </c>
      <c r="K477" s="16">
        <v>46061</v>
      </c>
      <c r="M477" s="16">
        <v>46061</v>
      </c>
    </row>
    <row r="478" spans="1:13" x14ac:dyDescent="0.4">
      <c r="A478" s="2" t="s">
        <v>514</v>
      </c>
      <c r="B478" s="2">
        <f>VALUE(REPLACE(CustomerTable[[#This Row],[Ticket]],1,3,""))</f>
        <v>739</v>
      </c>
      <c r="C478" s="2" t="s">
        <v>1023</v>
      </c>
      <c r="D478" s="2" t="s">
        <v>2488</v>
      </c>
      <c r="E478" s="2" t="s">
        <v>405</v>
      </c>
      <c r="F478" s="2" t="s">
        <v>398</v>
      </c>
      <c r="G478" s="2" t="str">
        <f>IF(CustomerTable[[#This Row],[Status]]="RESOLVED","Done",IF(CustomerTable[[#This Row],[Status]]="CLOSED","DONE",IF(CustomerTable[[#This Row],[Status]]="DEFERRED","Done","Pending")))</f>
        <v>Done</v>
      </c>
      <c r="H478" s="2" t="s">
        <v>1028</v>
      </c>
      <c r="I478" s="2" t="s">
        <v>391</v>
      </c>
      <c r="J478" s="2" t="s">
        <v>1507</v>
      </c>
      <c r="K478" s="16">
        <v>46061</v>
      </c>
      <c r="M478" s="16">
        <v>46092</v>
      </c>
    </row>
    <row r="479" spans="1:13" x14ac:dyDescent="0.4">
      <c r="A479" s="2" t="s">
        <v>515</v>
      </c>
      <c r="B479" s="2">
        <f>VALUE(REPLACE(CustomerTable[[#This Row],[Ticket]],1,3,""))</f>
        <v>740</v>
      </c>
      <c r="C479" s="2" t="s">
        <v>1023</v>
      </c>
      <c r="D479" s="2" t="s">
        <v>2489</v>
      </c>
      <c r="E479" s="2" t="s">
        <v>405</v>
      </c>
      <c r="F479" s="2" t="s">
        <v>398</v>
      </c>
      <c r="G479" s="2" t="str">
        <f>IF(CustomerTable[[#This Row],[Status]]="RESOLVED","Done",IF(CustomerTable[[#This Row],[Status]]="CLOSED","DONE",IF(CustomerTable[[#This Row],[Status]]="DEFERRED","Done","Pending")))</f>
        <v>Done</v>
      </c>
      <c r="H479" s="2" t="s">
        <v>11</v>
      </c>
      <c r="I479" s="2" t="s">
        <v>393</v>
      </c>
      <c r="J479" s="2" t="s">
        <v>1508</v>
      </c>
      <c r="K479" s="16">
        <v>46061</v>
      </c>
      <c r="M479" s="16">
        <v>46061</v>
      </c>
    </row>
    <row r="480" spans="1:13" x14ac:dyDescent="0.4">
      <c r="A480" s="2" t="s">
        <v>516</v>
      </c>
      <c r="B480" s="2">
        <f>VALUE(REPLACE(CustomerTable[[#This Row],[Ticket]],1,3,""))</f>
        <v>741</v>
      </c>
      <c r="C480" s="2" t="s">
        <v>1023</v>
      </c>
      <c r="D480" s="2" t="s">
        <v>2490</v>
      </c>
      <c r="E480" s="2" t="s">
        <v>405</v>
      </c>
      <c r="F480" s="2" t="s">
        <v>398</v>
      </c>
      <c r="G480" s="2" t="str">
        <f>IF(CustomerTable[[#This Row],[Status]]="RESOLVED","Done",IF(CustomerTable[[#This Row],[Status]]="CLOSED","DONE",IF(CustomerTable[[#This Row],[Status]]="DEFERRED","Done","Pending")))</f>
        <v>Done</v>
      </c>
      <c r="H480" s="2" t="s">
        <v>11</v>
      </c>
      <c r="I480" s="2" t="s">
        <v>389</v>
      </c>
      <c r="J480" s="2" t="s">
        <v>1509</v>
      </c>
      <c r="K480" s="16">
        <v>46061</v>
      </c>
      <c r="M480" s="16">
        <v>46092</v>
      </c>
    </row>
    <row r="481" spans="1:13" x14ac:dyDescent="0.4">
      <c r="A481" s="2" t="s">
        <v>517</v>
      </c>
      <c r="B481" s="2">
        <f>VALUE(REPLACE(CustomerTable[[#This Row],[Ticket]],1,3,""))</f>
        <v>742</v>
      </c>
      <c r="C481" s="2" t="s">
        <v>1023</v>
      </c>
      <c r="D481" s="2" t="s">
        <v>2491</v>
      </c>
      <c r="E481" s="2" t="s">
        <v>405</v>
      </c>
      <c r="F481" s="2" t="s">
        <v>398</v>
      </c>
      <c r="G481" s="2" t="str">
        <f>IF(CustomerTable[[#This Row],[Status]]="RESOLVED","Done",IF(CustomerTable[[#This Row],[Status]]="CLOSED","DONE",IF(CustomerTable[[#This Row],[Status]]="DEFERRED","Done","Pending")))</f>
        <v>Done</v>
      </c>
      <c r="H481" s="2" t="s">
        <v>11</v>
      </c>
      <c r="I481" s="2" t="s">
        <v>392</v>
      </c>
      <c r="J481" s="2" t="s">
        <v>1510</v>
      </c>
      <c r="K481" s="16">
        <v>46061</v>
      </c>
      <c r="M481" s="16">
        <v>46065</v>
      </c>
    </row>
    <row r="482" spans="1:13" x14ac:dyDescent="0.4">
      <c r="A482" s="2" t="s">
        <v>518</v>
      </c>
      <c r="B482" s="2">
        <f>VALUE(REPLACE(CustomerTable[[#This Row],[Ticket]],1,3,""))</f>
        <v>743</v>
      </c>
      <c r="C482" s="2" t="s">
        <v>1023</v>
      </c>
      <c r="D482" s="2" t="s">
        <v>2492</v>
      </c>
      <c r="E482" s="2" t="s">
        <v>405</v>
      </c>
      <c r="F482" s="2" t="s">
        <v>413</v>
      </c>
      <c r="G482" s="2" t="str">
        <f>IF(CustomerTable[[#This Row],[Status]]="RESOLVED","Done",IF(CustomerTable[[#This Row],[Status]]="CLOSED","DONE",IF(CustomerTable[[#This Row],[Status]]="DEFERRED","Done","Pending")))</f>
        <v>DONE</v>
      </c>
      <c r="H482" s="2" t="s">
        <v>1028</v>
      </c>
      <c r="I482" s="2" t="s">
        <v>389</v>
      </c>
      <c r="J482" s="2" t="s">
        <v>1511</v>
      </c>
      <c r="K482" s="16">
        <v>46061</v>
      </c>
      <c r="M482" s="16"/>
    </row>
    <row r="483" spans="1:13" x14ac:dyDescent="0.4">
      <c r="A483" s="2" t="s">
        <v>519</v>
      </c>
      <c r="B483" s="2">
        <f>VALUE(REPLACE(CustomerTable[[#This Row],[Ticket]],1,3,""))</f>
        <v>744</v>
      </c>
      <c r="C483" s="2" t="s">
        <v>1023</v>
      </c>
      <c r="D483" s="2" t="s">
        <v>2493</v>
      </c>
      <c r="E483" s="2" t="s">
        <v>400</v>
      </c>
      <c r="F483" s="2" t="s">
        <v>398</v>
      </c>
      <c r="G483" s="2" t="str">
        <f>IF(CustomerTable[[#This Row],[Status]]="RESOLVED","Done",IF(CustomerTable[[#This Row],[Status]]="CLOSED","DONE",IF(CustomerTable[[#This Row],[Status]]="DEFERRED","Done","Pending")))</f>
        <v>Done</v>
      </c>
      <c r="H483" s="2" t="s">
        <v>1032</v>
      </c>
      <c r="I483" s="2" t="s">
        <v>391</v>
      </c>
      <c r="J483" s="2" t="s">
        <v>1512</v>
      </c>
      <c r="K483" s="16">
        <v>46061</v>
      </c>
      <c r="M483" s="16">
        <v>46064</v>
      </c>
    </row>
    <row r="484" spans="1:13" x14ac:dyDescent="0.4">
      <c r="A484" s="2" t="s">
        <v>520</v>
      </c>
      <c r="B484" s="2">
        <f>VALUE(REPLACE(CustomerTable[[#This Row],[Ticket]],1,3,""))</f>
        <v>745</v>
      </c>
      <c r="C484" s="2" t="s">
        <v>1023</v>
      </c>
      <c r="D484" s="2" t="s">
        <v>2494</v>
      </c>
      <c r="E484" s="2" t="s">
        <v>400</v>
      </c>
      <c r="F484" s="2" t="s">
        <v>398</v>
      </c>
      <c r="G484" s="2" t="str">
        <f>IF(CustomerTable[[#This Row],[Status]]="RESOLVED","Done",IF(CustomerTable[[#This Row],[Status]]="CLOSED","DONE",IF(CustomerTable[[#This Row],[Status]]="DEFERRED","Done","Pending")))</f>
        <v>Done</v>
      </c>
      <c r="H484" s="2" t="s">
        <v>1034</v>
      </c>
      <c r="I484" s="2" t="s">
        <v>390</v>
      </c>
      <c r="J484" s="2" t="s">
        <v>1513</v>
      </c>
      <c r="K484" s="16">
        <v>46064</v>
      </c>
      <c r="M484" s="16">
        <v>46153</v>
      </c>
    </row>
    <row r="485" spans="1:13" x14ac:dyDescent="0.4">
      <c r="A485" s="2" t="s">
        <v>521</v>
      </c>
      <c r="B485" s="2">
        <f>VALUE(REPLACE(CustomerTable[[#This Row],[Ticket]],1,3,""))</f>
        <v>746</v>
      </c>
      <c r="C485" s="2" t="s">
        <v>1023</v>
      </c>
      <c r="D485" s="2" t="s">
        <v>2495</v>
      </c>
      <c r="E485" s="2" t="s">
        <v>405</v>
      </c>
      <c r="F485" s="2" t="s">
        <v>398</v>
      </c>
      <c r="G485" s="2" t="str">
        <f>IF(CustomerTable[[#This Row],[Status]]="RESOLVED","Done",IF(CustomerTable[[#This Row],[Status]]="CLOSED","DONE",IF(CustomerTable[[#This Row],[Status]]="DEFERRED","Done","Pending")))</f>
        <v>Done</v>
      </c>
      <c r="H485" s="2" t="s">
        <v>1028</v>
      </c>
      <c r="I485" s="2" t="s">
        <v>389</v>
      </c>
      <c r="J485" s="2" t="s">
        <v>1514</v>
      </c>
      <c r="K485" s="16">
        <v>46064</v>
      </c>
      <c r="M485" s="16">
        <v>46082</v>
      </c>
    </row>
    <row r="486" spans="1:13" x14ac:dyDescent="0.4">
      <c r="A486" s="2" t="s">
        <v>522</v>
      </c>
      <c r="B486" s="2">
        <f>VALUE(REPLACE(CustomerTable[[#This Row],[Ticket]],1,3,""))</f>
        <v>747</v>
      </c>
      <c r="C486" s="2" t="s">
        <v>1023</v>
      </c>
      <c r="D486" s="2" t="s">
        <v>2496</v>
      </c>
      <c r="E486" s="2" t="s">
        <v>405</v>
      </c>
      <c r="F486" s="2" t="s">
        <v>398</v>
      </c>
      <c r="G486" s="2" t="str">
        <f>IF(CustomerTable[[#This Row],[Status]]="RESOLVED","Done",IF(CustomerTable[[#This Row],[Status]]="CLOSED","DONE",IF(CustomerTable[[#This Row],[Status]]="DEFERRED","Done","Pending")))</f>
        <v>Done</v>
      </c>
      <c r="H486" s="2" t="s">
        <v>11</v>
      </c>
      <c r="I486" s="2" t="s">
        <v>392</v>
      </c>
      <c r="J486" s="2" t="s">
        <v>1515</v>
      </c>
      <c r="K486" s="16">
        <v>46064</v>
      </c>
      <c r="M486" s="16">
        <v>46064</v>
      </c>
    </row>
    <row r="487" spans="1:13" x14ac:dyDescent="0.4">
      <c r="A487" s="2" t="s">
        <v>523</v>
      </c>
      <c r="B487" s="2">
        <f>VALUE(REPLACE(CustomerTable[[#This Row],[Ticket]],1,3,""))</f>
        <v>748</v>
      </c>
      <c r="C487" s="2" t="s">
        <v>1023</v>
      </c>
      <c r="D487" s="2" t="s">
        <v>2497</v>
      </c>
      <c r="E487" s="2" t="s">
        <v>405</v>
      </c>
      <c r="F487" s="2" t="s">
        <v>398</v>
      </c>
      <c r="G487" s="2" t="str">
        <f>IF(CustomerTable[[#This Row],[Status]]="RESOLVED","Done",IF(CustomerTable[[#This Row],[Status]]="CLOSED","DONE",IF(CustomerTable[[#This Row],[Status]]="DEFERRED","Done","Pending")))</f>
        <v>Done</v>
      </c>
      <c r="H487" s="2" t="s">
        <v>1028</v>
      </c>
      <c r="I487" s="2" t="s">
        <v>390</v>
      </c>
      <c r="J487" s="2" t="s">
        <v>1516</v>
      </c>
      <c r="K487" s="16">
        <v>46064</v>
      </c>
      <c r="M487" s="16">
        <v>46079</v>
      </c>
    </row>
    <row r="488" spans="1:13" x14ac:dyDescent="0.4">
      <c r="A488" s="2" t="s">
        <v>524</v>
      </c>
      <c r="B488" s="2">
        <f>VALUE(REPLACE(CustomerTable[[#This Row],[Ticket]],1,3,""))</f>
        <v>749</v>
      </c>
      <c r="C488" s="2" t="s">
        <v>1023</v>
      </c>
      <c r="D488" s="2" t="s">
        <v>2498</v>
      </c>
      <c r="E488" s="2" t="s">
        <v>405</v>
      </c>
      <c r="F488" s="2" t="s">
        <v>398</v>
      </c>
      <c r="G488" s="2" t="str">
        <f>IF(CustomerTable[[#This Row],[Status]]="RESOLVED","Done",IF(CustomerTable[[#This Row],[Status]]="CLOSED","DONE",IF(CustomerTable[[#This Row],[Status]]="DEFERRED","Done","Pending")))</f>
        <v>Done</v>
      </c>
      <c r="H488" s="2" t="s">
        <v>1032</v>
      </c>
      <c r="I488" s="2" t="s">
        <v>392</v>
      </c>
      <c r="J488" s="2" t="s">
        <v>1517</v>
      </c>
      <c r="K488" s="16">
        <v>46064</v>
      </c>
      <c r="M488" s="16">
        <v>46071</v>
      </c>
    </row>
    <row r="489" spans="1:13" x14ac:dyDescent="0.4">
      <c r="A489" s="2" t="s">
        <v>525</v>
      </c>
      <c r="B489" s="2">
        <f>VALUE(REPLACE(CustomerTable[[#This Row],[Ticket]],1,3,""))</f>
        <v>750</v>
      </c>
      <c r="C489" s="2" t="s">
        <v>1023</v>
      </c>
      <c r="D489" s="2" t="s">
        <v>2499</v>
      </c>
      <c r="E489" s="2" t="s">
        <v>405</v>
      </c>
      <c r="F489" s="2" t="s">
        <v>398</v>
      </c>
      <c r="G489" s="2" t="str">
        <f>IF(CustomerTable[[#This Row],[Status]]="RESOLVED","Done",IF(CustomerTable[[#This Row],[Status]]="CLOSED","DONE",IF(CustomerTable[[#This Row],[Status]]="DEFERRED","Done","Pending")))</f>
        <v>Done</v>
      </c>
      <c r="H489" s="2" t="s">
        <v>11</v>
      </c>
      <c r="I489" s="2" t="s">
        <v>393</v>
      </c>
      <c r="J489" s="2" t="s">
        <v>1518</v>
      </c>
      <c r="K489" s="16">
        <v>46064</v>
      </c>
      <c r="M489" s="16">
        <v>46064</v>
      </c>
    </row>
    <row r="490" spans="1:13" x14ac:dyDescent="0.4">
      <c r="A490" s="2" t="s">
        <v>526</v>
      </c>
      <c r="B490" s="2">
        <f>VALUE(REPLACE(CustomerTable[[#This Row],[Ticket]],1,3,""))</f>
        <v>751</v>
      </c>
      <c r="C490" s="2" t="s">
        <v>1023</v>
      </c>
      <c r="D490" s="2" t="s">
        <v>2500</v>
      </c>
      <c r="E490" s="2" t="s">
        <v>405</v>
      </c>
      <c r="F490" s="2" t="s">
        <v>398</v>
      </c>
      <c r="G490" s="2" t="str">
        <f>IF(CustomerTable[[#This Row],[Status]]="RESOLVED","Done",IF(CustomerTable[[#This Row],[Status]]="CLOSED","DONE",IF(CustomerTable[[#This Row],[Status]]="DEFERRED","Done","Pending")))</f>
        <v>Done</v>
      </c>
      <c r="H490" s="2" t="s">
        <v>1028</v>
      </c>
      <c r="I490" s="2" t="s">
        <v>391</v>
      </c>
      <c r="J490" s="2" t="s">
        <v>1519</v>
      </c>
      <c r="K490" s="16">
        <v>46064</v>
      </c>
      <c r="M490" s="16">
        <v>46112</v>
      </c>
    </row>
    <row r="491" spans="1:13" x14ac:dyDescent="0.4">
      <c r="A491" s="2" t="s">
        <v>527</v>
      </c>
      <c r="B491" s="2">
        <f>VALUE(REPLACE(CustomerTable[[#This Row],[Ticket]],1,3,""))</f>
        <v>752</v>
      </c>
      <c r="C491" s="2" t="s">
        <v>1023</v>
      </c>
      <c r="D491" s="2" t="s">
        <v>2501</v>
      </c>
      <c r="E491" s="2" t="s">
        <v>405</v>
      </c>
      <c r="F491" s="2" t="s">
        <v>398</v>
      </c>
      <c r="G491" s="2" t="str">
        <f>IF(CustomerTable[[#This Row],[Status]]="RESOLVED","Done",IF(CustomerTable[[#This Row],[Status]]="CLOSED","DONE",IF(CustomerTable[[#This Row],[Status]]="DEFERRED","Done","Pending")))</f>
        <v>Done</v>
      </c>
      <c r="H491" s="2" t="s">
        <v>11</v>
      </c>
      <c r="I491" s="2" t="s">
        <v>389</v>
      </c>
      <c r="J491" s="2" t="s">
        <v>1520</v>
      </c>
      <c r="K491" s="16">
        <v>46064</v>
      </c>
      <c r="M491" s="16">
        <v>46072</v>
      </c>
    </row>
    <row r="492" spans="1:13" x14ac:dyDescent="0.4">
      <c r="A492" s="2" t="s">
        <v>528</v>
      </c>
      <c r="B492" s="2">
        <f>VALUE(REPLACE(CustomerTable[[#This Row],[Ticket]],1,3,""))</f>
        <v>753</v>
      </c>
      <c r="C492" s="2" t="s">
        <v>1023</v>
      </c>
      <c r="D492" s="2" t="s">
        <v>2502</v>
      </c>
      <c r="E492" s="2" t="s">
        <v>405</v>
      </c>
      <c r="F492" s="2" t="s">
        <v>398</v>
      </c>
      <c r="G492" s="2" t="str">
        <f>IF(CustomerTable[[#This Row],[Status]]="RESOLVED","Done",IF(CustomerTable[[#This Row],[Status]]="CLOSED","DONE",IF(CustomerTable[[#This Row],[Status]]="DEFERRED","Done","Pending")))</f>
        <v>Done</v>
      </c>
      <c r="H492" s="2" t="s">
        <v>11</v>
      </c>
      <c r="I492" s="2" t="s">
        <v>390</v>
      </c>
      <c r="J492" s="2" t="s">
        <v>1521</v>
      </c>
      <c r="K492" s="16">
        <v>46064</v>
      </c>
      <c r="M492" s="16">
        <v>46064</v>
      </c>
    </row>
    <row r="493" spans="1:13" x14ac:dyDescent="0.4">
      <c r="A493" s="2" t="s">
        <v>529</v>
      </c>
      <c r="B493" s="2">
        <f>VALUE(REPLACE(CustomerTable[[#This Row],[Ticket]],1,3,""))</f>
        <v>754</v>
      </c>
      <c r="C493" s="2" t="s">
        <v>1023</v>
      </c>
      <c r="D493" s="2" t="s">
        <v>2503</v>
      </c>
      <c r="E493" s="2" t="s">
        <v>405</v>
      </c>
      <c r="F493" s="2" t="s">
        <v>398</v>
      </c>
      <c r="G493" s="2" t="str">
        <f>IF(CustomerTable[[#This Row],[Status]]="RESOLVED","Done",IF(CustomerTable[[#This Row],[Status]]="CLOSED","DONE",IF(CustomerTable[[#This Row],[Status]]="DEFERRED","Done","Pending")))</f>
        <v>Done</v>
      </c>
      <c r="H493" s="2" t="s">
        <v>11</v>
      </c>
      <c r="I493" s="2" t="s">
        <v>394</v>
      </c>
      <c r="J493" s="2" t="s">
        <v>1522</v>
      </c>
      <c r="K493" s="16">
        <v>46064</v>
      </c>
      <c r="M493" s="16">
        <v>46064</v>
      </c>
    </row>
    <row r="494" spans="1:13" x14ac:dyDescent="0.4">
      <c r="A494" s="2" t="s">
        <v>530</v>
      </c>
      <c r="B494" s="2">
        <f>VALUE(REPLACE(CustomerTable[[#This Row],[Ticket]],1,3,""))</f>
        <v>755</v>
      </c>
      <c r="C494" s="2" t="s">
        <v>1023</v>
      </c>
      <c r="D494" s="2" t="s">
        <v>2504</v>
      </c>
      <c r="E494" s="2" t="s">
        <v>405</v>
      </c>
      <c r="F494" s="2" t="s">
        <v>398</v>
      </c>
      <c r="G494" s="2" t="str">
        <f>IF(CustomerTable[[#This Row],[Status]]="RESOLVED","Done",IF(CustomerTable[[#This Row],[Status]]="CLOSED","DONE",IF(CustomerTable[[#This Row],[Status]]="DEFERRED","Done","Pending")))</f>
        <v>Done</v>
      </c>
      <c r="H494" s="2" t="s">
        <v>11</v>
      </c>
      <c r="I494" s="2" t="s">
        <v>388</v>
      </c>
      <c r="J494" s="2" t="s">
        <v>1523</v>
      </c>
      <c r="K494" s="16">
        <v>46064</v>
      </c>
      <c r="M494" s="16"/>
    </row>
    <row r="495" spans="1:13" x14ac:dyDescent="0.4">
      <c r="A495" s="2" t="s">
        <v>531</v>
      </c>
      <c r="B495" s="2">
        <f>VALUE(REPLACE(CustomerTable[[#This Row],[Ticket]],1,3,""))</f>
        <v>756</v>
      </c>
      <c r="C495" s="2" t="s">
        <v>1023</v>
      </c>
      <c r="D495" s="2" t="s">
        <v>2505</v>
      </c>
      <c r="E495" s="2" t="s">
        <v>405</v>
      </c>
      <c r="F495" s="2" t="s">
        <v>398</v>
      </c>
      <c r="G495" s="2" t="str">
        <f>IF(CustomerTable[[#This Row],[Status]]="RESOLVED","Done",IF(CustomerTable[[#This Row],[Status]]="CLOSED","DONE",IF(CustomerTable[[#This Row],[Status]]="DEFERRED","Done","Pending")))</f>
        <v>Done</v>
      </c>
      <c r="H495" s="2" t="s">
        <v>11</v>
      </c>
      <c r="I495" s="2" t="s">
        <v>389</v>
      </c>
      <c r="J495" s="2" t="s">
        <v>1524</v>
      </c>
      <c r="K495" s="16">
        <v>46065</v>
      </c>
      <c r="M495" s="16">
        <v>46070</v>
      </c>
    </row>
    <row r="496" spans="1:13" x14ac:dyDescent="0.4">
      <c r="A496" s="2" t="s">
        <v>532</v>
      </c>
      <c r="B496" s="2">
        <f>VALUE(REPLACE(CustomerTable[[#This Row],[Ticket]],1,3,""))</f>
        <v>757</v>
      </c>
      <c r="C496" s="2" t="s">
        <v>1023</v>
      </c>
      <c r="D496" s="2" t="s">
        <v>2506</v>
      </c>
      <c r="E496" s="2" t="s">
        <v>405</v>
      </c>
      <c r="F496" s="2" t="s">
        <v>413</v>
      </c>
      <c r="G496" s="2" t="str">
        <f>IF(CustomerTable[[#This Row],[Status]]="RESOLVED","Done",IF(CustomerTable[[#This Row],[Status]]="CLOSED","DONE",IF(CustomerTable[[#This Row],[Status]]="DEFERRED","Done","Pending")))</f>
        <v>DONE</v>
      </c>
      <c r="H496" s="2" t="s">
        <v>1028</v>
      </c>
      <c r="I496" s="2" t="s">
        <v>392</v>
      </c>
      <c r="J496" s="2" t="s">
        <v>1525</v>
      </c>
      <c r="K496" s="16">
        <v>46066</v>
      </c>
      <c r="M496" s="16"/>
    </row>
    <row r="497" spans="1:13" x14ac:dyDescent="0.4">
      <c r="A497" s="2" t="s">
        <v>535</v>
      </c>
      <c r="B497" s="2">
        <f>VALUE(REPLACE(CustomerTable[[#This Row],[Ticket]],1,3,""))</f>
        <v>758</v>
      </c>
      <c r="C497" s="2" t="s">
        <v>1023</v>
      </c>
      <c r="D497" s="2" t="s">
        <v>2507</v>
      </c>
      <c r="E497" s="2" t="s">
        <v>405</v>
      </c>
      <c r="F497" s="2" t="s">
        <v>398</v>
      </c>
      <c r="G497" s="2" t="str">
        <f>IF(CustomerTable[[#This Row],[Status]]="RESOLVED","Done",IF(CustomerTable[[#This Row],[Status]]="CLOSED","DONE",IF(CustomerTable[[#This Row],[Status]]="DEFERRED","Done","Pending")))</f>
        <v>Done</v>
      </c>
      <c r="H497" s="2" t="s">
        <v>11</v>
      </c>
      <c r="I497" s="2" t="s">
        <v>392</v>
      </c>
      <c r="J497" s="2" t="s">
        <v>1526</v>
      </c>
      <c r="K497" s="16">
        <v>46069</v>
      </c>
      <c r="M497" s="16">
        <v>46069</v>
      </c>
    </row>
    <row r="498" spans="1:13" x14ac:dyDescent="0.4">
      <c r="A498" s="2" t="s">
        <v>537</v>
      </c>
      <c r="B498" s="2">
        <f>VALUE(REPLACE(CustomerTable[[#This Row],[Ticket]],1,3,""))</f>
        <v>759</v>
      </c>
      <c r="C498" s="2" t="s">
        <v>1024</v>
      </c>
      <c r="D498" s="2" t="s">
        <v>2508</v>
      </c>
      <c r="E498" s="2" t="s">
        <v>405</v>
      </c>
      <c r="F498" s="2" t="s">
        <v>398</v>
      </c>
      <c r="G498" s="2" t="str">
        <f>IF(CustomerTable[[#This Row],[Status]]="RESOLVED","Done",IF(CustomerTable[[#This Row],[Status]]="CLOSED","DONE",IF(CustomerTable[[#This Row],[Status]]="DEFERRED","Done","Pending")))</f>
        <v>Done</v>
      </c>
      <c r="H498" s="2" t="s">
        <v>11</v>
      </c>
      <c r="I498" s="2" t="s">
        <v>388</v>
      </c>
      <c r="J498" s="2" t="s">
        <v>1527</v>
      </c>
      <c r="K498" s="16">
        <v>46069</v>
      </c>
      <c r="M498" s="16">
        <v>46069</v>
      </c>
    </row>
    <row r="499" spans="1:13" x14ac:dyDescent="0.4">
      <c r="A499" s="2" t="s">
        <v>538</v>
      </c>
      <c r="B499" s="2">
        <f>VALUE(REPLACE(CustomerTable[[#This Row],[Ticket]],1,3,""))</f>
        <v>760</v>
      </c>
      <c r="C499" s="2" t="s">
        <v>1024</v>
      </c>
      <c r="D499" s="2" t="s">
        <v>2509</v>
      </c>
      <c r="E499" s="2" t="s">
        <v>405</v>
      </c>
      <c r="F499" s="2" t="s">
        <v>398</v>
      </c>
      <c r="G499" s="2" t="str">
        <f>IF(CustomerTable[[#This Row],[Status]]="RESOLVED","Done",IF(CustomerTable[[#This Row],[Status]]="CLOSED","DONE",IF(CustomerTable[[#This Row],[Status]]="DEFERRED","Done","Pending")))</f>
        <v>Done</v>
      </c>
      <c r="H499" s="2" t="s">
        <v>1034</v>
      </c>
      <c r="I499" s="2" t="s">
        <v>395</v>
      </c>
      <c r="J499" s="2" t="s">
        <v>1528</v>
      </c>
      <c r="K499" s="16">
        <v>46069</v>
      </c>
      <c r="M499" s="16">
        <v>46202</v>
      </c>
    </row>
    <row r="500" spans="1:13" x14ac:dyDescent="0.4">
      <c r="A500" s="2" t="s">
        <v>539</v>
      </c>
      <c r="B500" s="2">
        <f>VALUE(REPLACE(CustomerTable[[#This Row],[Ticket]],1,3,""))</f>
        <v>761</v>
      </c>
      <c r="C500" s="2" t="s">
        <v>1024</v>
      </c>
      <c r="D500" s="2" t="s">
        <v>2510</v>
      </c>
      <c r="E500" s="2" t="s">
        <v>405</v>
      </c>
      <c r="F500" s="2" t="s">
        <v>398</v>
      </c>
      <c r="G500" s="2" t="str">
        <f>IF(CustomerTable[[#This Row],[Status]]="RESOLVED","Done",IF(CustomerTable[[#This Row],[Status]]="CLOSED","DONE",IF(CustomerTable[[#This Row],[Status]]="DEFERRED","Done","Pending")))</f>
        <v>Done</v>
      </c>
      <c r="H500" s="2" t="s">
        <v>11</v>
      </c>
      <c r="I500" s="2" t="s">
        <v>392</v>
      </c>
      <c r="J500" s="2" t="s">
        <v>1529</v>
      </c>
      <c r="K500" s="16">
        <v>46069</v>
      </c>
      <c r="M500" s="16">
        <v>46069</v>
      </c>
    </row>
    <row r="501" spans="1:13" x14ac:dyDescent="0.4">
      <c r="A501" s="2" t="s">
        <v>540</v>
      </c>
      <c r="B501" s="2">
        <f>VALUE(REPLACE(CustomerTable[[#This Row],[Ticket]],1,3,""))</f>
        <v>762</v>
      </c>
      <c r="C501" s="2" t="s">
        <v>1024</v>
      </c>
      <c r="D501" s="2" t="s">
        <v>2511</v>
      </c>
      <c r="E501" s="2" t="s">
        <v>405</v>
      </c>
      <c r="F501" s="2" t="s">
        <v>398</v>
      </c>
      <c r="G501" s="2" t="str">
        <f>IF(CustomerTable[[#This Row],[Status]]="RESOLVED","Done",IF(CustomerTable[[#This Row],[Status]]="CLOSED","DONE",IF(CustomerTable[[#This Row],[Status]]="DEFERRED","Done","Pending")))</f>
        <v>Done</v>
      </c>
      <c r="H501" s="2" t="s">
        <v>1029</v>
      </c>
      <c r="I501" s="2" t="s">
        <v>395</v>
      </c>
      <c r="J501" s="2" t="s">
        <v>1530</v>
      </c>
      <c r="K501" s="16">
        <v>46069</v>
      </c>
      <c r="M501" s="16">
        <v>46094</v>
      </c>
    </row>
    <row r="502" spans="1:13" x14ac:dyDescent="0.4">
      <c r="A502" s="2" t="s">
        <v>541</v>
      </c>
      <c r="B502" s="2">
        <f>VALUE(REPLACE(CustomerTable[[#This Row],[Ticket]],1,3,""))</f>
        <v>763</v>
      </c>
      <c r="C502" s="2" t="s">
        <v>1023</v>
      </c>
      <c r="D502" s="2" t="s">
        <v>2512</v>
      </c>
      <c r="E502" s="2" t="s">
        <v>405</v>
      </c>
      <c r="F502" s="2" t="s">
        <v>398</v>
      </c>
      <c r="G502" s="2" t="str">
        <f>IF(CustomerTable[[#This Row],[Status]]="RESOLVED","Done",IF(CustomerTable[[#This Row],[Status]]="CLOSED","DONE",IF(CustomerTable[[#This Row],[Status]]="DEFERRED","Done","Pending")))</f>
        <v>Done</v>
      </c>
      <c r="H502" s="2" t="s">
        <v>1028</v>
      </c>
      <c r="I502" s="2" t="s">
        <v>389</v>
      </c>
      <c r="J502" s="2" t="s">
        <v>1531</v>
      </c>
      <c r="K502" s="16">
        <v>46069</v>
      </c>
      <c r="M502" s="16">
        <v>46096</v>
      </c>
    </row>
    <row r="503" spans="1:13" x14ac:dyDescent="0.4">
      <c r="A503" s="2" t="s">
        <v>542</v>
      </c>
      <c r="B503" s="2">
        <f>VALUE(REPLACE(CustomerTable[[#This Row],[Ticket]],1,3,""))</f>
        <v>764</v>
      </c>
      <c r="C503" s="2" t="s">
        <v>1023</v>
      </c>
      <c r="D503" s="2" t="s">
        <v>2513</v>
      </c>
      <c r="E503" s="2" t="s">
        <v>405</v>
      </c>
      <c r="F503" s="2" t="s">
        <v>398</v>
      </c>
      <c r="G503" s="2" t="str">
        <f>IF(CustomerTable[[#This Row],[Status]]="RESOLVED","Done",IF(CustomerTable[[#This Row],[Status]]="CLOSED","DONE",IF(CustomerTable[[#This Row],[Status]]="DEFERRED","Done","Pending")))</f>
        <v>Done</v>
      </c>
      <c r="H503" s="2" t="s">
        <v>1028</v>
      </c>
      <c r="I503" s="2" t="s">
        <v>391</v>
      </c>
      <c r="J503" s="2" t="s">
        <v>1532</v>
      </c>
      <c r="K503" s="16">
        <v>46069</v>
      </c>
      <c r="M503" s="16">
        <v>46084</v>
      </c>
    </row>
    <row r="504" spans="1:13" x14ac:dyDescent="0.4">
      <c r="A504" s="2" t="s">
        <v>543</v>
      </c>
      <c r="B504" s="2">
        <f>VALUE(REPLACE(CustomerTable[[#This Row],[Ticket]],1,3,""))</f>
        <v>765</v>
      </c>
      <c r="C504" s="2" t="s">
        <v>1023</v>
      </c>
      <c r="D504" s="2" t="s">
        <v>2514</v>
      </c>
      <c r="E504" s="2" t="s">
        <v>405</v>
      </c>
      <c r="F504" s="2" t="s">
        <v>398</v>
      </c>
      <c r="G504" s="2" t="str">
        <f>IF(CustomerTable[[#This Row],[Status]]="RESOLVED","Done",IF(CustomerTable[[#This Row],[Status]]="CLOSED","DONE",IF(CustomerTable[[#This Row],[Status]]="DEFERRED","Done","Pending")))</f>
        <v>Done</v>
      </c>
      <c r="H504" s="2" t="s">
        <v>1032</v>
      </c>
      <c r="I504" s="2" t="s">
        <v>391</v>
      </c>
      <c r="J504" s="2" t="s">
        <v>1533</v>
      </c>
      <c r="K504" s="16">
        <v>46069</v>
      </c>
      <c r="M504" s="16">
        <v>46078</v>
      </c>
    </row>
    <row r="505" spans="1:13" x14ac:dyDescent="0.4">
      <c r="A505" s="2" t="s">
        <v>544</v>
      </c>
      <c r="B505" s="2">
        <f>VALUE(REPLACE(CustomerTable[[#This Row],[Ticket]],1,3,""))</f>
        <v>766</v>
      </c>
      <c r="C505" s="2" t="s">
        <v>1023</v>
      </c>
      <c r="D505" s="2" t="s">
        <v>2515</v>
      </c>
      <c r="E505" s="2" t="s">
        <v>405</v>
      </c>
      <c r="F505" s="2" t="s">
        <v>398</v>
      </c>
      <c r="G505" s="2" t="str">
        <f>IF(CustomerTable[[#This Row],[Status]]="RESOLVED","Done",IF(CustomerTable[[#This Row],[Status]]="CLOSED","DONE",IF(CustomerTable[[#This Row],[Status]]="DEFERRED","Done","Pending")))</f>
        <v>Done</v>
      </c>
      <c r="H505" s="2" t="s">
        <v>11</v>
      </c>
      <c r="I505" s="2" t="s">
        <v>393</v>
      </c>
      <c r="J505" s="2" t="s">
        <v>1534</v>
      </c>
      <c r="K505" s="16">
        <v>46069</v>
      </c>
      <c r="M505" s="16">
        <v>46069</v>
      </c>
    </row>
    <row r="506" spans="1:13" x14ac:dyDescent="0.4">
      <c r="A506" s="2" t="s">
        <v>545</v>
      </c>
      <c r="B506" s="2">
        <f>VALUE(REPLACE(CustomerTable[[#This Row],[Ticket]],1,3,""))</f>
        <v>767</v>
      </c>
      <c r="C506" s="2" t="s">
        <v>1023</v>
      </c>
      <c r="D506" s="2" t="s">
        <v>2516</v>
      </c>
      <c r="E506" s="2" t="s">
        <v>405</v>
      </c>
      <c r="F506" s="2" t="s">
        <v>398</v>
      </c>
      <c r="G506" s="2" t="str">
        <f>IF(CustomerTable[[#This Row],[Status]]="RESOLVED","Done",IF(CustomerTable[[#This Row],[Status]]="CLOSED","DONE",IF(CustomerTable[[#This Row],[Status]]="DEFERRED","Done","Pending")))</f>
        <v>Done</v>
      </c>
      <c r="H506" s="2" t="s">
        <v>11</v>
      </c>
      <c r="I506" s="2" t="s">
        <v>393</v>
      </c>
      <c r="J506" s="2" t="s">
        <v>1535</v>
      </c>
      <c r="K506" s="16">
        <v>46069</v>
      </c>
      <c r="M506" s="16">
        <v>46069</v>
      </c>
    </row>
    <row r="507" spans="1:13" x14ac:dyDescent="0.4">
      <c r="A507" s="2" t="s">
        <v>546</v>
      </c>
      <c r="B507" s="2">
        <f>VALUE(REPLACE(CustomerTable[[#This Row],[Ticket]],1,3,""))</f>
        <v>768</v>
      </c>
      <c r="C507" s="2" t="s">
        <v>1023</v>
      </c>
      <c r="D507" s="2" t="s">
        <v>2517</v>
      </c>
      <c r="E507" s="2" t="s">
        <v>405</v>
      </c>
      <c r="F507" s="2" t="s">
        <v>398</v>
      </c>
      <c r="G507" s="2" t="str">
        <f>IF(CustomerTable[[#This Row],[Status]]="RESOLVED","Done",IF(CustomerTable[[#This Row],[Status]]="CLOSED","DONE",IF(CustomerTable[[#This Row],[Status]]="DEFERRED","Done","Pending")))</f>
        <v>Done</v>
      </c>
      <c r="H507" s="2" t="s">
        <v>1028</v>
      </c>
      <c r="I507" s="2" t="s">
        <v>391</v>
      </c>
      <c r="J507" s="2" t="s">
        <v>1536</v>
      </c>
      <c r="K507" s="16">
        <v>46070</v>
      </c>
      <c r="M507" s="16">
        <v>46084</v>
      </c>
    </row>
    <row r="508" spans="1:13" x14ac:dyDescent="0.4">
      <c r="A508" s="2" t="s">
        <v>547</v>
      </c>
      <c r="B508" s="2">
        <f>VALUE(REPLACE(CustomerTable[[#This Row],[Ticket]],1,3,""))</f>
        <v>769</v>
      </c>
      <c r="C508" s="2" t="s">
        <v>1023</v>
      </c>
      <c r="D508" s="2" t="s">
        <v>2518</v>
      </c>
      <c r="E508" s="2" t="s">
        <v>405</v>
      </c>
      <c r="F508" s="2" t="s">
        <v>398</v>
      </c>
      <c r="G508" s="2" t="str">
        <f>IF(CustomerTable[[#This Row],[Status]]="RESOLVED","Done",IF(CustomerTable[[#This Row],[Status]]="CLOSED","DONE",IF(CustomerTable[[#This Row],[Status]]="DEFERRED","Done","Pending")))</f>
        <v>Done</v>
      </c>
      <c r="H508" s="2" t="s">
        <v>11</v>
      </c>
      <c r="I508" s="2" t="s">
        <v>393</v>
      </c>
      <c r="J508" s="2" t="s">
        <v>1537</v>
      </c>
      <c r="K508" s="16">
        <v>46070</v>
      </c>
      <c r="M508" s="16">
        <v>46070</v>
      </c>
    </row>
    <row r="509" spans="1:13" x14ac:dyDescent="0.4">
      <c r="A509" s="2" t="s">
        <v>548</v>
      </c>
      <c r="B509" s="2">
        <f>VALUE(REPLACE(CustomerTable[[#This Row],[Ticket]],1,3,""))</f>
        <v>770</v>
      </c>
      <c r="C509" s="2" t="s">
        <v>1023</v>
      </c>
      <c r="D509" s="2" t="s">
        <v>2519</v>
      </c>
      <c r="E509" s="2" t="s">
        <v>405</v>
      </c>
      <c r="F509" s="2" t="s">
        <v>398</v>
      </c>
      <c r="G509" s="2" t="str">
        <f>IF(CustomerTable[[#This Row],[Status]]="RESOLVED","Done",IF(CustomerTable[[#This Row],[Status]]="CLOSED","DONE",IF(CustomerTable[[#This Row],[Status]]="DEFERRED","Done","Pending")))</f>
        <v>Done</v>
      </c>
      <c r="H509" s="2" t="s">
        <v>11</v>
      </c>
      <c r="I509" s="2" t="s">
        <v>389</v>
      </c>
      <c r="J509" s="2" t="s">
        <v>1538</v>
      </c>
      <c r="K509" s="16">
        <v>46070</v>
      </c>
      <c r="M509" s="16">
        <v>46076</v>
      </c>
    </row>
    <row r="510" spans="1:13" x14ac:dyDescent="0.4">
      <c r="A510" s="2" t="s">
        <v>549</v>
      </c>
      <c r="B510" s="2">
        <f>VALUE(REPLACE(CustomerTable[[#This Row],[Ticket]],1,3,""))</f>
        <v>771</v>
      </c>
      <c r="C510" s="2" t="s">
        <v>1023</v>
      </c>
      <c r="D510" s="2" t="s">
        <v>2520</v>
      </c>
      <c r="E510" s="2" t="s">
        <v>405</v>
      </c>
      <c r="F510" s="2" t="s">
        <v>398</v>
      </c>
      <c r="G510" s="2" t="str">
        <f>IF(CustomerTable[[#This Row],[Status]]="RESOLVED","Done",IF(CustomerTable[[#This Row],[Status]]="CLOSED","DONE",IF(CustomerTable[[#This Row],[Status]]="DEFERRED","Done","Pending")))</f>
        <v>Done</v>
      </c>
      <c r="H510" s="2" t="s">
        <v>11</v>
      </c>
      <c r="I510" s="2" t="s">
        <v>394</v>
      </c>
      <c r="J510" s="2" t="s">
        <v>1539</v>
      </c>
      <c r="K510" s="16">
        <v>46070</v>
      </c>
      <c r="M510" s="16">
        <v>46099</v>
      </c>
    </row>
    <row r="511" spans="1:13" x14ac:dyDescent="0.4">
      <c r="A511" s="2" t="s">
        <v>550</v>
      </c>
      <c r="B511" s="2">
        <f>VALUE(REPLACE(CustomerTable[[#This Row],[Ticket]],1,3,""))</f>
        <v>772</v>
      </c>
      <c r="C511" s="2" t="s">
        <v>1023</v>
      </c>
      <c r="D511" s="2" t="s">
        <v>2521</v>
      </c>
      <c r="E511" s="2" t="s">
        <v>405</v>
      </c>
      <c r="F511" s="2" t="s">
        <v>398</v>
      </c>
      <c r="G511" s="2" t="str">
        <f>IF(CustomerTable[[#This Row],[Status]]="RESOLVED","Done",IF(CustomerTable[[#This Row],[Status]]="CLOSED","DONE",IF(CustomerTable[[#This Row],[Status]]="DEFERRED","Done","Pending")))</f>
        <v>Done</v>
      </c>
      <c r="H511" s="2" t="s">
        <v>1028</v>
      </c>
      <c r="I511" s="2" t="s">
        <v>391</v>
      </c>
      <c r="J511" s="2" t="s">
        <v>1540</v>
      </c>
      <c r="K511" s="16">
        <v>46070</v>
      </c>
      <c r="M511" s="16">
        <v>46121</v>
      </c>
    </row>
    <row r="512" spans="1:13" x14ac:dyDescent="0.4">
      <c r="A512" s="2" t="s">
        <v>551</v>
      </c>
      <c r="B512" s="2">
        <f>VALUE(REPLACE(CustomerTable[[#This Row],[Ticket]],1,3,""))</f>
        <v>773</v>
      </c>
      <c r="C512" s="2" t="s">
        <v>1023</v>
      </c>
      <c r="D512" s="2" t="s">
        <v>2522</v>
      </c>
      <c r="E512" s="2" t="s">
        <v>405</v>
      </c>
      <c r="F512" s="2" t="s">
        <v>398</v>
      </c>
      <c r="G512" s="2" t="str">
        <f>IF(CustomerTable[[#This Row],[Status]]="RESOLVED","Done",IF(CustomerTable[[#This Row],[Status]]="CLOSED","DONE",IF(CustomerTable[[#This Row],[Status]]="DEFERRED","Done","Pending")))</f>
        <v>Done</v>
      </c>
      <c r="H512" s="2" t="s">
        <v>11</v>
      </c>
      <c r="I512" s="2" t="s">
        <v>393</v>
      </c>
      <c r="J512" s="2" t="s">
        <v>1541</v>
      </c>
      <c r="K512" s="16">
        <v>46071</v>
      </c>
      <c r="M512" s="16">
        <v>46071</v>
      </c>
    </row>
    <row r="513" spans="1:13" x14ac:dyDescent="0.4">
      <c r="A513" s="2" t="s">
        <v>552</v>
      </c>
      <c r="B513" s="2">
        <f>VALUE(REPLACE(CustomerTable[[#This Row],[Ticket]],1,3,""))</f>
        <v>774</v>
      </c>
      <c r="C513" s="2" t="s">
        <v>1023</v>
      </c>
      <c r="D513" s="2" t="s">
        <v>2523</v>
      </c>
      <c r="E513" s="2" t="s">
        <v>405</v>
      </c>
      <c r="F513" s="2" t="s">
        <v>398</v>
      </c>
      <c r="G513" s="2" t="str">
        <f>IF(CustomerTable[[#This Row],[Status]]="RESOLVED","Done",IF(CustomerTable[[#This Row],[Status]]="CLOSED","DONE",IF(CustomerTable[[#This Row],[Status]]="DEFERRED","Done","Pending")))</f>
        <v>Done</v>
      </c>
      <c r="H513" s="2" t="s">
        <v>11</v>
      </c>
      <c r="I513" s="2" t="s">
        <v>388</v>
      </c>
      <c r="J513" s="2" t="s">
        <v>1542</v>
      </c>
      <c r="K513" s="16">
        <v>46073</v>
      </c>
      <c r="M513" s="16">
        <v>46073</v>
      </c>
    </row>
    <row r="514" spans="1:13" x14ac:dyDescent="0.4">
      <c r="A514" s="2" t="s">
        <v>553</v>
      </c>
      <c r="B514" s="2">
        <f>VALUE(REPLACE(CustomerTable[[#This Row],[Ticket]],1,3,""))</f>
        <v>775</v>
      </c>
      <c r="C514" s="2" t="s">
        <v>1023</v>
      </c>
      <c r="D514" s="2" t="s">
        <v>2524</v>
      </c>
      <c r="E514" s="2" t="s">
        <v>405</v>
      </c>
      <c r="F514" s="2" t="s">
        <v>398</v>
      </c>
      <c r="G514" s="2" t="str">
        <f>IF(CustomerTable[[#This Row],[Status]]="RESOLVED","Done",IF(CustomerTable[[#This Row],[Status]]="CLOSED","DONE",IF(CustomerTable[[#This Row],[Status]]="DEFERRED","Done","Pending")))</f>
        <v>Done</v>
      </c>
      <c r="H514" s="2" t="s">
        <v>1028</v>
      </c>
      <c r="I514" s="2" t="s">
        <v>392</v>
      </c>
      <c r="J514" s="2" t="s">
        <v>1543</v>
      </c>
      <c r="K514" s="16">
        <v>46073</v>
      </c>
      <c r="M514" s="16">
        <v>46122</v>
      </c>
    </row>
    <row r="515" spans="1:13" x14ac:dyDescent="0.4">
      <c r="A515" s="2" t="s">
        <v>554</v>
      </c>
      <c r="B515" s="2">
        <f>VALUE(REPLACE(CustomerTable[[#This Row],[Ticket]],1,3,""))</f>
        <v>776</v>
      </c>
      <c r="C515" s="2" t="s">
        <v>1024</v>
      </c>
      <c r="D515" s="2" t="s">
        <v>2525</v>
      </c>
      <c r="E515" s="2" t="s">
        <v>405</v>
      </c>
      <c r="F515" s="2" t="s">
        <v>398</v>
      </c>
      <c r="G515" s="2" t="str">
        <f>IF(CustomerTable[[#This Row],[Status]]="RESOLVED","Done",IF(CustomerTable[[#This Row],[Status]]="CLOSED","DONE",IF(CustomerTable[[#This Row],[Status]]="DEFERRED","Done","Pending")))</f>
        <v>Done</v>
      </c>
      <c r="H515" s="2" t="s">
        <v>11</v>
      </c>
      <c r="I515" s="2" t="s">
        <v>393</v>
      </c>
      <c r="J515" s="2" t="s">
        <v>1544</v>
      </c>
      <c r="K515" s="16">
        <v>46073</v>
      </c>
      <c r="M515" s="16">
        <v>46073</v>
      </c>
    </row>
    <row r="516" spans="1:13" x14ac:dyDescent="0.4">
      <c r="A516" s="2" t="s">
        <v>555</v>
      </c>
      <c r="B516" s="2">
        <f>VALUE(REPLACE(CustomerTable[[#This Row],[Ticket]],1,3,""))</f>
        <v>777</v>
      </c>
      <c r="C516" s="2" t="s">
        <v>1023</v>
      </c>
      <c r="D516" s="2" t="s">
        <v>2526</v>
      </c>
      <c r="E516" s="2" t="s">
        <v>405</v>
      </c>
      <c r="F516" s="2" t="s">
        <v>398</v>
      </c>
      <c r="G516" s="2" t="str">
        <f>IF(CustomerTable[[#This Row],[Status]]="RESOLVED","Done",IF(CustomerTable[[#This Row],[Status]]="CLOSED","DONE",IF(CustomerTable[[#This Row],[Status]]="DEFERRED","Done","Pending")))</f>
        <v>Done</v>
      </c>
      <c r="H516" s="2" t="s">
        <v>1028</v>
      </c>
      <c r="I516" s="2" t="s">
        <v>389</v>
      </c>
      <c r="J516" s="2" t="s">
        <v>1545</v>
      </c>
      <c r="K516" s="16">
        <v>46076</v>
      </c>
      <c r="M516" s="16">
        <v>46119</v>
      </c>
    </row>
    <row r="517" spans="1:13" x14ac:dyDescent="0.4">
      <c r="A517" s="2" t="s">
        <v>556</v>
      </c>
      <c r="B517" s="2">
        <f>VALUE(REPLACE(CustomerTable[[#This Row],[Ticket]],1,3,""))</f>
        <v>778</v>
      </c>
      <c r="C517" s="2" t="s">
        <v>1023</v>
      </c>
      <c r="D517" s="2" t="s">
        <v>2527</v>
      </c>
      <c r="E517" s="2" t="s">
        <v>405</v>
      </c>
      <c r="F517" s="2" t="s">
        <v>398</v>
      </c>
      <c r="G517" s="2" t="str">
        <f>IF(CustomerTable[[#This Row],[Status]]="RESOLVED","Done",IF(CustomerTable[[#This Row],[Status]]="CLOSED","DONE",IF(CustomerTable[[#This Row],[Status]]="DEFERRED","Done","Pending")))</f>
        <v>Done</v>
      </c>
      <c r="H517" s="2" t="s">
        <v>11</v>
      </c>
      <c r="I517" s="2" t="s">
        <v>394</v>
      </c>
      <c r="J517" s="2" t="s">
        <v>1546</v>
      </c>
      <c r="K517" s="16">
        <v>46076</v>
      </c>
      <c r="M517" s="16">
        <v>46099</v>
      </c>
    </row>
    <row r="518" spans="1:13" x14ac:dyDescent="0.4">
      <c r="A518" s="2" t="s">
        <v>557</v>
      </c>
      <c r="B518" s="2">
        <f>VALUE(REPLACE(CustomerTable[[#This Row],[Ticket]],1,3,""))</f>
        <v>779</v>
      </c>
      <c r="C518" s="2" t="s">
        <v>1023</v>
      </c>
      <c r="D518" s="2" t="s">
        <v>2528</v>
      </c>
      <c r="E518" s="2" t="s">
        <v>399</v>
      </c>
      <c r="F518" s="2" t="s">
        <v>398</v>
      </c>
      <c r="G518" s="2" t="str">
        <f>IF(CustomerTable[[#This Row],[Status]]="RESOLVED","Done",IF(CustomerTable[[#This Row],[Status]]="CLOSED","DONE",IF(CustomerTable[[#This Row],[Status]]="DEFERRED","Done","Pending")))</f>
        <v>Done</v>
      </c>
      <c r="H518" s="2" t="s">
        <v>1028</v>
      </c>
      <c r="I518" s="2" t="s">
        <v>393</v>
      </c>
      <c r="J518" s="2" t="s">
        <v>1547</v>
      </c>
      <c r="K518" s="16">
        <v>46076</v>
      </c>
      <c r="M518" s="16">
        <v>46132</v>
      </c>
    </row>
    <row r="519" spans="1:13" x14ac:dyDescent="0.4">
      <c r="A519" s="2" t="s">
        <v>558</v>
      </c>
      <c r="B519" s="2">
        <f>VALUE(REPLACE(CustomerTable[[#This Row],[Ticket]],1,3,""))</f>
        <v>780</v>
      </c>
      <c r="C519" s="2" t="s">
        <v>1023</v>
      </c>
      <c r="D519" s="2" t="s">
        <v>2529</v>
      </c>
      <c r="E519" s="2" t="s">
        <v>405</v>
      </c>
      <c r="F519" s="2" t="s">
        <v>413</v>
      </c>
      <c r="G519" s="2" t="str">
        <f>IF(CustomerTable[[#This Row],[Status]]="RESOLVED","Done",IF(CustomerTable[[#This Row],[Status]]="CLOSED","DONE",IF(CustomerTable[[#This Row],[Status]]="DEFERRED","Done","Pending")))</f>
        <v>DONE</v>
      </c>
      <c r="H519" s="2" t="s">
        <v>11</v>
      </c>
      <c r="I519" s="2" t="s">
        <v>390</v>
      </c>
      <c r="J519" s="2" t="s">
        <v>1548</v>
      </c>
      <c r="K519" s="16">
        <v>46076</v>
      </c>
      <c r="M519" s="16"/>
    </row>
    <row r="520" spans="1:13" x14ac:dyDescent="0.4">
      <c r="A520" s="2" t="s">
        <v>559</v>
      </c>
      <c r="B520" s="2">
        <f>VALUE(REPLACE(CustomerTable[[#This Row],[Ticket]],1,3,""))</f>
        <v>781</v>
      </c>
      <c r="C520" s="2" t="s">
        <v>1023</v>
      </c>
      <c r="D520" s="2" t="s">
        <v>2530</v>
      </c>
      <c r="E520" s="2" t="s">
        <v>405</v>
      </c>
      <c r="F520" s="2" t="s">
        <v>398</v>
      </c>
      <c r="G520" s="2" t="str">
        <f>IF(CustomerTable[[#This Row],[Status]]="RESOLVED","Done",IF(CustomerTable[[#This Row],[Status]]="CLOSED","DONE",IF(CustomerTable[[#This Row],[Status]]="DEFERRED","Done","Pending")))</f>
        <v>Done</v>
      </c>
      <c r="H520" s="2" t="s">
        <v>11</v>
      </c>
      <c r="I520" s="2" t="s">
        <v>394</v>
      </c>
      <c r="J520" s="2" t="s">
        <v>1549</v>
      </c>
      <c r="K520" s="16">
        <v>46076</v>
      </c>
      <c r="M520" s="16">
        <v>46099</v>
      </c>
    </row>
    <row r="521" spans="1:13" x14ac:dyDescent="0.4">
      <c r="A521" s="2" t="s">
        <v>560</v>
      </c>
      <c r="B521" s="2">
        <f>VALUE(REPLACE(CustomerTable[[#This Row],[Ticket]],1,3,""))</f>
        <v>782</v>
      </c>
      <c r="C521" s="2" t="s">
        <v>1023</v>
      </c>
      <c r="D521" s="2" t="s">
        <v>2531</v>
      </c>
      <c r="E521" s="2" t="s">
        <v>405</v>
      </c>
      <c r="F521" s="2" t="s">
        <v>398</v>
      </c>
      <c r="G521" s="2" t="str">
        <f>IF(CustomerTable[[#This Row],[Status]]="RESOLVED","Done",IF(CustomerTable[[#This Row],[Status]]="CLOSED","DONE",IF(CustomerTable[[#This Row],[Status]]="DEFERRED","Done","Pending")))</f>
        <v>Done</v>
      </c>
      <c r="H521" s="2" t="s">
        <v>1028</v>
      </c>
      <c r="I521" s="2" t="s">
        <v>391</v>
      </c>
      <c r="J521" s="2" t="s">
        <v>1550</v>
      </c>
      <c r="K521" s="16">
        <v>46076</v>
      </c>
      <c r="M521" s="16">
        <v>46107</v>
      </c>
    </row>
    <row r="522" spans="1:13" x14ac:dyDescent="0.4">
      <c r="A522" s="2" t="s">
        <v>561</v>
      </c>
      <c r="B522" s="2">
        <f>VALUE(REPLACE(CustomerTable[[#This Row],[Ticket]],1,3,""))</f>
        <v>783</v>
      </c>
      <c r="C522" s="2" t="s">
        <v>1023</v>
      </c>
      <c r="D522" s="2" t="s">
        <v>2532</v>
      </c>
      <c r="E522" s="2" t="s">
        <v>405</v>
      </c>
      <c r="F522" s="2" t="s">
        <v>398</v>
      </c>
      <c r="G522" s="2" t="str">
        <f>IF(CustomerTable[[#This Row],[Status]]="RESOLVED","Done",IF(CustomerTable[[#This Row],[Status]]="CLOSED","DONE",IF(CustomerTable[[#This Row],[Status]]="DEFERRED","Done","Pending")))</f>
        <v>Done</v>
      </c>
      <c r="H522" s="2" t="s">
        <v>11</v>
      </c>
      <c r="I522" s="2" t="s">
        <v>393</v>
      </c>
      <c r="J522" s="2" t="s">
        <v>1551</v>
      </c>
      <c r="K522" s="16">
        <v>46076</v>
      </c>
      <c r="M522" s="16">
        <v>46076</v>
      </c>
    </row>
    <row r="523" spans="1:13" x14ac:dyDescent="0.4">
      <c r="A523" s="2" t="s">
        <v>562</v>
      </c>
      <c r="B523" s="2">
        <f>VALUE(REPLACE(CustomerTable[[#This Row],[Ticket]],1,3,""))</f>
        <v>784</v>
      </c>
      <c r="C523" s="2" t="s">
        <v>1023</v>
      </c>
      <c r="D523" s="2" t="s">
        <v>2533</v>
      </c>
      <c r="E523" s="2" t="s">
        <v>405</v>
      </c>
      <c r="F523" s="2" t="s">
        <v>398</v>
      </c>
      <c r="G523" s="2" t="str">
        <f>IF(CustomerTable[[#This Row],[Status]]="RESOLVED","Done",IF(CustomerTable[[#This Row],[Status]]="CLOSED","DONE",IF(CustomerTable[[#This Row],[Status]]="DEFERRED","Done","Pending")))</f>
        <v>Done</v>
      </c>
      <c r="H523" s="2" t="s">
        <v>11</v>
      </c>
      <c r="I523" s="2" t="s">
        <v>388</v>
      </c>
      <c r="J523" s="2" t="s">
        <v>1552</v>
      </c>
      <c r="K523" s="16">
        <v>46076</v>
      </c>
      <c r="M523" s="16"/>
    </row>
    <row r="524" spans="1:13" x14ac:dyDescent="0.4">
      <c r="A524" s="2" t="s">
        <v>563</v>
      </c>
      <c r="B524" s="2">
        <f>VALUE(REPLACE(CustomerTable[[#This Row],[Ticket]],1,3,""))</f>
        <v>785</v>
      </c>
      <c r="C524" s="2" t="s">
        <v>1023</v>
      </c>
      <c r="D524" s="2" t="s">
        <v>2534</v>
      </c>
      <c r="E524" s="2" t="s">
        <v>405</v>
      </c>
      <c r="F524" s="2" t="s">
        <v>398</v>
      </c>
      <c r="G524" s="2" t="str">
        <f>IF(CustomerTable[[#This Row],[Status]]="RESOLVED","Done",IF(CustomerTable[[#This Row],[Status]]="CLOSED","DONE",IF(CustomerTable[[#This Row],[Status]]="DEFERRED","Done","Pending")))</f>
        <v>Done</v>
      </c>
      <c r="H524" s="2" t="s">
        <v>11</v>
      </c>
      <c r="I524" s="2" t="s">
        <v>392</v>
      </c>
      <c r="J524" s="2" t="s">
        <v>1553</v>
      </c>
      <c r="K524" s="16">
        <v>46076</v>
      </c>
      <c r="M524" s="16">
        <v>46076</v>
      </c>
    </row>
    <row r="525" spans="1:13" x14ac:dyDescent="0.4">
      <c r="A525" s="2" t="s">
        <v>564</v>
      </c>
      <c r="B525" s="2">
        <f>VALUE(REPLACE(CustomerTable[[#This Row],[Ticket]],1,3,""))</f>
        <v>786</v>
      </c>
      <c r="C525" s="2" t="s">
        <v>1023</v>
      </c>
      <c r="D525" s="2" t="s">
        <v>2535</v>
      </c>
      <c r="E525" s="2" t="s">
        <v>400</v>
      </c>
      <c r="F525" s="2" t="s">
        <v>398</v>
      </c>
      <c r="G525" s="2" t="str">
        <f>IF(CustomerTable[[#This Row],[Status]]="RESOLVED","Done",IF(CustomerTable[[#This Row],[Status]]="CLOSED","DONE",IF(CustomerTable[[#This Row],[Status]]="DEFERRED","Done","Pending")))</f>
        <v>Done</v>
      </c>
      <c r="H525" s="2" t="s">
        <v>1028</v>
      </c>
      <c r="I525" s="2" t="s">
        <v>394</v>
      </c>
      <c r="J525" s="2" t="s">
        <v>1554</v>
      </c>
      <c r="K525" s="16">
        <v>46076</v>
      </c>
      <c r="M525" s="16">
        <v>46113</v>
      </c>
    </row>
    <row r="526" spans="1:13" x14ac:dyDescent="0.4">
      <c r="A526" s="2" t="s">
        <v>565</v>
      </c>
      <c r="B526" s="2">
        <f>VALUE(REPLACE(CustomerTable[[#This Row],[Ticket]],1,3,""))</f>
        <v>787</v>
      </c>
      <c r="C526" s="2" t="s">
        <v>1023</v>
      </c>
      <c r="D526" s="2" t="s">
        <v>2536</v>
      </c>
      <c r="E526" s="2" t="s">
        <v>405</v>
      </c>
      <c r="F526" s="2" t="s">
        <v>398</v>
      </c>
      <c r="G526" s="2" t="str">
        <f>IF(CustomerTable[[#This Row],[Status]]="RESOLVED","Done",IF(CustomerTable[[#This Row],[Status]]="CLOSED","DONE",IF(CustomerTable[[#This Row],[Status]]="DEFERRED","Done","Pending")))</f>
        <v>Done</v>
      </c>
      <c r="H526" s="2" t="s">
        <v>1028</v>
      </c>
      <c r="I526" s="2" t="s">
        <v>389</v>
      </c>
      <c r="J526" s="2" t="s">
        <v>1555</v>
      </c>
      <c r="K526" s="16">
        <v>46076</v>
      </c>
      <c r="M526" s="16">
        <v>46079</v>
      </c>
    </row>
    <row r="527" spans="1:13" x14ac:dyDescent="0.4">
      <c r="A527" s="2" t="s">
        <v>566</v>
      </c>
      <c r="B527" s="2">
        <f>VALUE(REPLACE(CustomerTable[[#This Row],[Ticket]],1,3,""))</f>
        <v>788</v>
      </c>
      <c r="C527" s="2" t="s">
        <v>1023</v>
      </c>
      <c r="D527" s="2" t="s">
        <v>2537</v>
      </c>
      <c r="E527" s="2" t="s">
        <v>405</v>
      </c>
      <c r="F527" s="2" t="s">
        <v>398</v>
      </c>
      <c r="G527" s="2" t="str">
        <f>IF(CustomerTable[[#This Row],[Status]]="RESOLVED","Done",IF(CustomerTable[[#This Row],[Status]]="CLOSED","DONE",IF(CustomerTable[[#This Row],[Status]]="DEFERRED","Done","Pending")))</f>
        <v>Done</v>
      </c>
      <c r="H527" s="2" t="s">
        <v>11</v>
      </c>
      <c r="I527" s="2" t="s">
        <v>394</v>
      </c>
      <c r="J527" s="2" t="s">
        <v>1556</v>
      </c>
      <c r="K527" s="16">
        <v>46076</v>
      </c>
      <c r="M527" s="16">
        <v>46099</v>
      </c>
    </row>
    <row r="528" spans="1:13" x14ac:dyDescent="0.4">
      <c r="A528" s="2" t="s">
        <v>567</v>
      </c>
      <c r="B528" s="2">
        <f>VALUE(REPLACE(CustomerTable[[#This Row],[Ticket]],1,3,""))</f>
        <v>789</v>
      </c>
      <c r="C528" s="2" t="s">
        <v>1024</v>
      </c>
      <c r="D528" s="2" t="s">
        <v>2538</v>
      </c>
      <c r="E528" s="2" t="s">
        <v>405</v>
      </c>
      <c r="F528" s="2" t="s">
        <v>398</v>
      </c>
      <c r="G528" s="2" t="str">
        <f>IF(CustomerTable[[#This Row],[Status]]="RESOLVED","Done",IF(CustomerTable[[#This Row],[Status]]="CLOSED","DONE",IF(CustomerTable[[#This Row],[Status]]="DEFERRED","Done","Pending")))</f>
        <v>Done</v>
      </c>
      <c r="H528" s="2" t="s">
        <v>11</v>
      </c>
      <c r="I528" s="2" t="s">
        <v>395</v>
      </c>
      <c r="J528" s="2" t="s">
        <v>1557</v>
      </c>
      <c r="K528" s="16">
        <v>46077</v>
      </c>
      <c r="M528" s="16">
        <v>46077</v>
      </c>
    </row>
    <row r="529" spans="1:13" x14ac:dyDescent="0.4">
      <c r="A529" s="2" t="s">
        <v>568</v>
      </c>
      <c r="B529" s="2">
        <f>VALUE(REPLACE(CustomerTable[[#This Row],[Ticket]],1,3,""))</f>
        <v>790</v>
      </c>
      <c r="C529" s="2" t="s">
        <v>1023</v>
      </c>
      <c r="D529" s="2" t="s">
        <v>2539</v>
      </c>
      <c r="E529" s="2" t="s">
        <v>405</v>
      </c>
      <c r="F529" s="2" t="s">
        <v>398</v>
      </c>
      <c r="G529" s="2" t="str">
        <f>IF(CustomerTable[[#This Row],[Status]]="RESOLVED","Done",IF(CustomerTable[[#This Row],[Status]]="CLOSED","DONE",IF(CustomerTable[[#This Row],[Status]]="DEFERRED","Done","Pending")))</f>
        <v>Done</v>
      </c>
      <c r="H529" s="2" t="s">
        <v>11</v>
      </c>
      <c r="I529" s="2" t="s">
        <v>394</v>
      </c>
      <c r="J529" s="2" t="s">
        <v>1558</v>
      </c>
      <c r="K529" s="16">
        <v>46077</v>
      </c>
      <c r="M529" s="16">
        <v>46099</v>
      </c>
    </row>
    <row r="530" spans="1:13" x14ac:dyDescent="0.4">
      <c r="A530" s="2" t="s">
        <v>569</v>
      </c>
      <c r="B530" s="2">
        <f>VALUE(REPLACE(CustomerTable[[#This Row],[Ticket]],1,3,""))</f>
        <v>791</v>
      </c>
      <c r="C530" s="2" t="s">
        <v>1023</v>
      </c>
      <c r="D530" s="2" t="s">
        <v>2540</v>
      </c>
      <c r="E530" s="2" t="s">
        <v>399</v>
      </c>
      <c r="F530" s="2" t="s">
        <v>413</v>
      </c>
      <c r="G530" s="2" t="str">
        <f>IF(CustomerTable[[#This Row],[Status]]="RESOLVED","Done",IF(CustomerTable[[#This Row],[Status]]="CLOSED","DONE",IF(CustomerTable[[#This Row],[Status]]="DEFERRED","Done","Pending")))</f>
        <v>DONE</v>
      </c>
      <c r="H530" s="2" t="s">
        <v>1028</v>
      </c>
      <c r="I530" s="2" t="s">
        <v>390</v>
      </c>
      <c r="J530" s="2" t="s">
        <v>1559</v>
      </c>
      <c r="K530" s="16">
        <v>46077</v>
      </c>
      <c r="M530" s="16"/>
    </row>
    <row r="531" spans="1:13" x14ac:dyDescent="0.4">
      <c r="A531" s="2" t="s">
        <v>570</v>
      </c>
      <c r="B531" s="2">
        <f>VALUE(REPLACE(CustomerTable[[#This Row],[Ticket]],1,3,""))</f>
        <v>792</v>
      </c>
      <c r="C531" s="2" t="s">
        <v>1023</v>
      </c>
      <c r="D531" s="2" t="s">
        <v>2541</v>
      </c>
      <c r="E531" s="2" t="s">
        <v>400</v>
      </c>
      <c r="F531" s="2" t="s">
        <v>398</v>
      </c>
      <c r="G531" s="2" t="str">
        <f>IF(CustomerTable[[#This Row],[Status]]="RESOLVED","Done",IF(CustomerTable[[#This Row],[Status]]="CLOSED","DONE",IF(CustomerTable[[#This Row],[Status]]="DEFERRED","Done","Pending")))</f>
        <v>Done</v>
      </c>
      <c r="H531" s="2" t="s">
        <v>1028</v>
      </c>
      <c r="I531" s="2" t="s">
        <v>391</v>
      </c>
      <c r="J531" s="2" t="s">
        <v>1560</v>
      </c>
      <c r="K531" s="16">
        <v>46077</v>
      </c>
      <c r="M531" s="16"/>
    </row>
    <row r="532" spans="1:13" x14ac:dyDescent="0.4">
      <c r="A532" s="2" t="s">
        <v>571</v>
      </c>
      <c r="B532" s="2">
        <f>VALUE(REPLACE(CustomerTable[[#This Row],[Ticket]],1,3,""))</f>
        <v>793</v>
      </c>
      <c r="C532" s="2" t="s">
        <v>1023</v>
      </c>
      <c r="D532" s="2" t="s">
        <v>2542</v>
      </c>
      <c r="E532" s="2" t="s">
        <v>405</v>
      </c>
      <c r="F532" s="2" t="s">
        <v>398</v>
      </c>
      <c r="G532" s="2" t="str">
        <f>IF(CustomerTable[[#This Row],[Status]]="RESOLVED","Done",IF(CustomerTable[[#This Row],[Status]]="CLOSED","DONE",IF(CustomerTable[[#This Row],[Status]]="DEFERRED","Done","Pending")))</f>
        <v>Done</v>
      </c>
      <c r="H532" s="2" t="s">
        <v>11</v>
      </c>
      <c r="I532" s="2" t="s">
        <v>394</v>
      </c>
      <c r="J532" s="2" t="s">
        <v>1561</v>
      </c>
      <c r="K532" s="16">
        <v>46077</v>
      </c>
      <c r="M532" s="16">
        <v>46099</v>
      </c>
    </row>
    <row r="533" spans="1:13" x14ac:dyDescent="0.4">
      <c r="A533" s="2" t="s">
        <v>572</v>
      </c>
      <c r="B533" s="2">
        <f>VALUE(REPLACE(CustomerTable[[#This Row],[Ticket]],1,3,""))</f>
        <v>794</v>
      </c>
      <c r="C533" s="2" t="s">
        <v>1023</v>
      </c>
      <c r="D533" s="2" t="s">
        <v>2543</v>
      </c>
      <c r="E533" s="2" t="s">
        <v>405</v>
      </c>
      <c r="F533" s="2" t="s">
        <v>413</v>
      </c>
      <c r="G533" s="2" t="str">
        <f>IF(CustomerTable[[#This Row],[Status]]="RESOLVED","Done",IF(CustomerTable[[#This Row],[Status]]="CLOSED","DONE",IF(CustomerTable[[#This Row],[Status]]="DEFERRED","Done","Pending")))</f>
        <v>DONE</v>
      </c>
      <c r="H533" s="2" t="s">
        <v>1028</v>
      </c>
      <c r="I533" s="2" t="s">
        <v>389</v>
      </c>
      <c r="J533" s="2" t="s">
        <v>1562</v>
      </c>
      <c r="K533" s="16">
        <v>46077</v>
      </c>
      <c r="M533" s="16"/>
    </row>
    <row r="534" spans="1:13" x14ac:dyDescent="0.4">
      <c r="A534" s="2" t="s">
        <v>573</v>
      </c>
      <c r="B534" s="2">
        <f>VALUE(REPLACE(CustomerTable[[#This Row],[Ticket]],1,3,""))</f>
        <v>795</v>
      </c>
      <c r="C534" s="2" t="s">
        <v>1023</v>
      </c>
      <c r="D534" s="2" t="s">
        <v>2544</v>
      </c>
      <c r="E534" s="2" t="s">
        <v>405</v>
      </c>
      <c r="F534" s="2" t="s">
        <v>398</v>
      </c>
      <c r="G534" s="2" t="str">
        <f>IF(CustomerTable[[#This Row],[Status]]="RESOLVED","Done",IF(CustomerTable[[#This Row],[Status]]="CLOSED","DONE",IF(CustomerTable[[#This Row],[Status]]="DEFERRED","Done","Pending")))</f>
        <v>Done</v>
      </c>
      <c r="H534" s="2" t="s">
        <v>11</v>
      </c>
      <c r="I534" s="2" t="s">
        <v>394</v>
      </c>
      <c r="J534" s="2" t="s">
        <v>1563</v>
      </c>
      <c r="K534" s="16">
        <v>46077</v>
      </c>
      <c r="M534" s="16">
        <v>46099</v>
      </c>
    </row>
    <row r="535" spans="1:13" x14ac:dyDescent="0.4">
      <c r="A535" s="2" t="s">
        <v>574</v>
      </c>
      <c r="B535" s="2">
        <f>VALUE(REPLACE(CustomerTable[[#This Row],[Ticket]],1,3,""))</f>
        <v>796</v>
      </c>
      <c r="C535" s="2" t="s">
        <v>1023</v>
      </c>
      <c r="D535" s="2" t="s">
        <v>2545</v>
      </c>
      <c r="E535" s="2" t="s">
        <v>399</v>
      </c>
      <c r="F535" s="2" t="s">
        <v>413</v>
      </c>
      <c r="G535" s="2" t="str">
        <f>IF(CustomerTable[[#This Row],[Status]]="RESOLVED","Done",IF(CustomerTable[[#This Row],[Status]]="CLOSED","DONE",IF(CustomerTable[[#This Row],[Status]]="DEFERRED","Done","Pending")))</f>
        <v>DONE</v>
      </c>
      <c r="H535" s="2" t="s">
        <v>1028</v>
      </c>
      <c r="I535" s="2" t="s">
        <v>389</v>
      </c>
      <c r="J535" s="2" t="s">
        <v>1564</v>
      </c>
      <c r="K535" s="16">
        <v>46077</v>
      </c>
      <c r="M535" s="16"/>
    </row>
    <row r="536" spans="1:13" x14ac:dyDescent="0.4">
      <c r="A536" s="2" t="s">
        <v>575</v>
      </c>
      <c r="B536" s="2">
        <f>VALUE(REPLACE(CustomerTable[[#This Row],[Ticket]],1,3,""))</f>
        <v>797</v>
      </c>
      <c r="C536" s="2" t="s">
        <v>1023</v>
      </c>
      <c r="D536" s="2" t="s">
        <v>2546</v>
      </c>
      <c r="E536" s="2" t="s">
        <v>405</v>
      </c>
      <c r="F536" s="2" t="s">
        <v>398</v>
      </c>
      <c r="G536" s="2" t="str">
        <f>IF(CustomerTable[[#This Row],[Status]]="RESOLVED","Done",IF(CustomerTable[[#This Row],[Status]]="CLOSED","DONE",IF(CustomerTable[[#This Row],[Status]]="DEFERRED","Done","Pending")))</f>
        <v>Done</v>
      </c>
      <c r="H536" s="2" t="s">
        <v>1032</v>
      </c>
      <c r="I536" s="2" t="s">
        <v>390</v>
      </c>
      <c r="J536" s="2" t="s">
        <v>1565</v>
      </c>
      <c r="K536" s="16">
        <v>46077</v>
      </c>
      <c r="M536" s="16">
        <v>46104</v>
      </c>
    </row>
    <row r="537" spans="1:13" x14ac:dyDescent="0.4">
      <c r="A537" s="2" t="s">
        <v>576</v>
      </c>
      <c r="B537" s="2">
        <f>VALUE(REPLACE(CustomerTable[[#This Row],[Ticket]],1,3,""))</f>
        <v>798</v>
      </c>
      <c r="C537" s="2" t="s">
        <v>1024</v>
      </c>
      <c r="D537" s="2" t="s">
        <v>2547</v>
      </c>
      <c r="E537" s="2" t="s">
        <v>400</v>
      </c>
      <c r="F537" s="2" t="s">
        <v>398</v>
      </c>
      <c r="G537" s="2" t="str">
        <f>IF(CustomerTable[[#This Row],[Status]]="RESOLVED","Done",IF(CustomerTable[[#This Row],[Status]]="CLOSED","DONE",IF(CustomerTable[[#This Row],[Status]]="DEFERRED","Done","Pending")))</f>
        <v>Done</v>
      </c>
      <c r="H537" s="2" t="s">
        <v>1034</v>
      </c>
      <c r="I537" s="2" t="s">
        <v>391</v>
      </c>
      <c r="J537" s="2" t="s">
        <v>1566</v>
      </c>
      <c r="K537" s="16">
        <v>46077</v>
      </c>
      <c r="M537" s="16">
        <v>46142</v>
      </c>
    </row>
    <row r="538" spans="1:13" x14ac:dyDescent="0.4">
      <c r="A538" s="2" t="s">
        <v>579</v>
      </c>
      <c r="B538" s="2">
        <f>VALUE(REPLACE(CustomerTable[[#This Row],[Ticket]],1,3,""))</f>
        <v>799</v>
      </c>
      <c r="C538" s="2" t="s">
        <v>1023</v>
      </c>
      <c r="D538" s="2" t="s">
        <v>2548</v>
      </c>
      <c r="E538" s="2" t="s">
        <v>405</v>
      </c>
      <c r="F538" s="2" t="s">
        <v>398</v>
      </c>
      <c r="G538" s="2" t="str">
        <f>IF(CustomerTable[[#This Row],[Status]]="RESOLVED","Done",IF(CustomerTable[[#This Row],[Status]]="CLOSED","DONE",IF(CustomerTable[[#This Row],[Status]]="DEFERRED","Done","Pending")))</f>
        <v>Done</v>
      </c>
      <c r="H538" s="2" t="s">
        <v>1028</v>
      </c>
      <c r="I538" s="2" t="s">
        <v>391</v>
      </c>
      <c r="J538" s="2" t="s">
        <v>1567</v>
      </c>
      <c r="K538" s="16">
        <v>46079</v>
      </c>
      <c r="M538" s="16">
        <v>46087</v>
      </c>
    </row>
    <row r="539" spans="1:13" x14ac:dyDescent="0.4">
      <c r="A539" s="2" t="s">
        <v>580</v>
      </c>
      <c r="B539" s="2">
        <f>VALUE(REPLACE(CustomerTable[[#This Row],[Ticket]],1,3,""))</f>
        <v>800</v>
      </c>
      <c r="C539" s="2" t="s">
        <v>1023</v>
      </c>
      <c r="D539" s="2" t="s">
        <v>2549</v>
      </c>
      <c r="E539" s="2" t="s">
        <v>405</v>
      </c>
      <c r="F539" s="2" t="s">
        <v>398</v>
      </c>
      <c r="G539" s="2" t="str">
        <f>IF(CustomerTable[[#This Row],[Status]]="RESOLVED","Done",IF(CustomerTable[[#This Row],[Status]]="CLOSED","DONE",IF(CustomerTable[[#This Row],[Status]]="DEFERRED","Done","Pending")))</f>
        <v>Done</v>
      </c>
      <c r="H539" s="2" t="s">
        <v>1028</v>
      </c>
      <c r="I539" s="2" t="s">
        <v>393</v>
      </c>
      <c r="J539" s="2" t="s">
        <v>1568</v>
      </c>
      <c r="K539" s="16">
        <v>46079</v>
      </c>
      <c r="M539" s="16">
        <v>46092</v>
      </c>
    </row>
    <row r="540" spans="1:13" x14ac:dyDescent="0.4">
      <c r="A540" s="2" t="s">
        <v>581</v>
      </c>
      <c r="B540" s="2">
        <f>VALUE(REPLACE(CustomerTable[[#This Row],[Ticket]],1,3,""))</f>
        <v>801</v>
      </c>
      <c r="C540" s="2" t="s">
        <v>1023</v>
      </c>
      <c r="D540" s="2" t="s">
        <v>2550</v>
      </c>
      <c r="E540" s="2" t="s">
        <v>405</v>
      </c>
      <c r="F540" s="2" t="s">
        <v>398</v>
      </c>
      <c r="G540" s="2" t="str">
        <f>IF(CustomerTable[[#This Row],[Status]]="RESOLVED","Done",IF(CustomerTable[[#This Row],[Status]]="CLOSED","DONE",IF(CustomerTable[[#This Row],[Status]]="DEFERRED","Done","Pending")))</f>
        <v>Done</v>
      </c>
      <c r="H540" s="2" t="s">
        <v>1028</v>
      </c>
      <c r="I540" s="2" t="s">
        <v>389</v>
      </c>
      <c r="J540" s="2" t="s">
        <v>1569</v>
      </c>
      <c r="K540" s="16">
        <v>46079</v>
      </c>
      <c r="M540" s="16">
        <v>46092</v>
      </c>
    </row>
    <row r="541" spans="1:13" x14ac:dyDescent="0.4">
      <c r="A541" s="2" t="s">
        <v>582</v>
      </c>
      <c r="B541" s="2">
        <f>VALUE(REPLACE(CustomerTable[[#This Row],[Ticket]],1,3,""))</f>
        <v>802</v>
      </c>
      <c r="C541" s="2" t="s">
        <v>1023</v>
      </c>
      <c r="D541" s="2" t="s">
        <v>2551</v>
      </c>
      <c r="E541" s="2" t="s">
        <v>405</v>
      </c>
      <c r="F541" s="2" t="s">
        <v>398</v>
      </c>
      <c r="G541" s="2" t="str">
        <f>IF(CustomerTable[[#This Row],[Status]]="RESOLVED","Done",IF(CustomerTable[[#This Row],[Status]]="CLOSED","DONE",IF(CustomerTable[[#This Row],[Status]]="DEFERRED","Done","Pending")))</f>
        <v>Done</v>
      </c>
      <c r="H541" s="2" t="s">
        <v>11</v>
      </c>
      <c r="I541" s="2" t="s">
        <v>389</v>
      </c>
      <c r="J541" s="2" t="s">
        <v>1570</v>
      </c>
      <c r="K541" s="16">
        <v>46079</v>
      </c>
      <c r="M541" s="16">
        <v>46099</v>
      </c>
    </row>
    <row r="542" spans="1:13" x14ac:dyDescent="0.4">
      <c r="A542" s="2" t="s">
        <v>583</v>
      </c>
      <c r="B542" s="2">
        <f>VALUE(REPLACE(CustomerTable[[#This Row],[Ticket]],1,3,""))</f>
        <v>803</v>
      </c>
      <c r="C542" s="2" t="s">
        <v>1023</v>
      </c>
      <c r="D542" s="2" t="s">
        <v>2552</v>
      </c>
      <c r="E542" s="2" t="s">
        <v>405</v>
      </c>
      <c r="F542" s="2" t="s">
        <v>398</v>
      </c>
      <c r="G542" s="2" t="str">
        <f>IF(CustomerTable[[#This Row],[Status]]="RESOLVED","Done",IF(CustomerTable[[#This Row],[Status]]="CLOSED","DONE",IF(CustomerTable[[#This Row],[Status]]="DEFERRED","Done","Pending")))</f>
        <v>Done</v>
      </c>
      <c r="H542" s="2" t="s">
        <v>1028</v>
      </c>
      <c r="I542" s="2" t="s">
        <v>389</v>
      </c>
      <c r="J542" s="2" t="s">
        <v>1571</v>
      </c>
      <c r="K542" s="16">
        <v>46079</v>
      </c>
      <c r="M542" s="16">
        <v>46111</v>
      </c>
    </row>
    <row r="543" spans="1:13" x14ac:dyDescent="0.4">
      <c r="A543" s="2" t="s">
        <v>584</v>
      </c>
      <c r="B543" s="2">
        <f>VALUE(REPLACE(CustomerTable[[#This Row],[Ticket]],1,3,""))</f>
        <v>804</v>
      </c>
      <c r="C543" s="2" t="s">
        <v>1023</v>
      </c>
      <c r="D543" s="2" t="s">
        <v>2553</v>
      </c>
      <c r="E543" s="2" t="s">
        <v>405</v>
      </c>
      <c r="F543" s="2" t="s">
        <v>398</v>
      </c>
      <c r="G543" s="2" t="str">
        <f>IF(CustomerTable[[#This Row],[Status]]="RESOLVED","Done",IF(CustomerTable[[#This Row],[Status]]="CLOSED","DONE",IF(CustomerTable[[#This Row],[Status]]="DEFERRED","Done","Pending")))</f>
        <v>Done</v>
      </c>
      <c r="H543" s="2" t="s">
        <v>1028</v>
      </c>
      <c r="I543" s="2" t="s">
        <v>392</v>
      </c>
      <c r="J543" s="2" t="s">
        <v>1572</v>
      </c>
      <c r="K543" s="16">
        <v>46081</v>
      </c>
      <c r="M543" s="16">
        <v>46092</v>
      </c>
    </row>
    <row r="544" spans="1:13" x14ac:dyDescent="0.4">
      <c r="A544" s="2" t="s">
        <v>585</v>
      </c>
      <c r="B544" s="2">
        <f>VALUE(REPLACE(CustomerTable[[#This Row],[Ticket]],1,3,""))</f>
        <v>805</v>
      </c>
      <c r="C544" s="2" t="s">
        <v>1024</v>
      </c>
      <c r="D544" s="2" t="s">
        <v>2554</v>
      </c>
      <c r="E544" s="2" t="s">
        <v>405</v>
      </c>
      <c r="F544" s="2" t="s">
        <v>398</v>
      </c>
      <c r="G544" s="2" t="str">
        <f>IF(CustomerTable[[#This Row],[Status]]="RESOLVED","Done",IF(CustomerTable[[#This Row],[Status]]="CLOSED","DONE",IF(CustomerTable[[#This Row],[Status]]="DEFERRED","Done","Pending")))</f>
        <v>Done</v>
      </c>
      <c r="H544" s="2" t="s">
        <v>11</v>
      </c>
      <c r="I544" s="2" t="s">
        <v>388</v>
      </c>
      <c r="J544" s="2" t="s">
        <v>1573</v>
      </c>
      <c r="K544" s="16">
        <v>46081</v>
      </c>
      <c r="M544" s="16">
        <v>46081</v>
      </c>
    </row>
    <row r="545" spans="1:13" x14ac:dyDescent="0.4">
      <c r="A545" s="2" t="s">
        <v>586</v>
      </c>
      <c r="B545" s="2">
        <f>VALUE(REPLACE(CustomerTable[[#This Row],[Ticket]],1,3,""))</f>
        <v>806</v>
      </c>
      <c r="C545" s="2" t="s">
        <v>1024</v>
      </c>
      <c r="D545" s="2" t="s">
        <v>2555</v>
      </c>
      <c r="E545" s="2" t="s">
        <v>399</v>
      </c>
      <c r="F545" s="2" t="s">
        <v>398</v>
      </c>
      <c r="G545" s="2" t="str">
        <f>IF(CustomerTable[[#This Row],[Status]]="RESOLVED","Done",IF(CustomerTable[[#This Row],[Status]]="CLOSED","DONE",IF(CustomerTable[[#This Row],[Status]]="DEFERRED","Done","Pending")))</f>
        <v>Done</v>
      </c>
      <c r="H545" s="2" t="s">
        <v>1029</v>
      </c>
      <c r="I545" s="2" t="s">
        <v>391</v>
      </c>
      <c r="J545" s="2" t="s">
        <v>1574</v>
      </c>
      <c r="K545" s="16">
        <v>46081</v>
      </c>
      <c r="M545" s="16">
        <v>46126</v>
      </c>
    </row>
    <row r="546" spans="1:13" x14ac:dyDescent="0.4">
      <c r="A546" s="2" t="s">
        <v>587</v>
      </c>
      <c r="B546" s="2">
        <f>VALUE(REPLACE(CustomerTable[[#This Row],[Ticket]],1,3,""))</f>
        <v>807</v>
      </c>
      <c r="C546" s="2" t="s">
        <v>1024</v>
      </c>
      <c r="D546" s="2" t="s">
        <v>2556</v>
      </c>
      <c r="E546" s="2" t="s">
        <v>400</v>
      </c>
      <c r="F546" s="2" t="s">
        <v>398</v>
      </c>
      <c r="G546" s="2" t="str">
        <f>IF(CustomerTable[[#This Row],[Status]]="RESOLVED","Done",IF(CustomerTable[[#This Row],[Status]]="CLOSED","DONE",IF(CustomerTable[[#This Row],[Status]]="DEFERRED","Done","Pending")))</f>
        <v>Done</v>
      </c>
      <c r="H546" s="2" t="s">
        <v>1029</v>
      </c>
      <c r="I546" s="2" t="s">
        <v>390</v>
      </c>
      <c r="J546" s="2" t="s">
        <v>1575</v>
      </c>
      <c r="K546" s="16">
        <v>46081</v>
      </c>
      <c r="M546" s="16">
        <v>46130</v>
      </c>
    </row>
    <row r="547" spans="1:13" x14ac:dyDescent="0.4">
      <c r="A547" s="2" t="s">
        <v>588</v>
      </c>
      <c r="B547" s="2">
        <f>VALUE(REPLACE(CustomerTable[[#This Row],[Ticket]],1,3,""))</f>
        <v>808</v>
      </c>
      <c r="C547" s="2" t="s">
        <v>1024</v>
      </c>
      <c r="D547" s="2" t="s">
        <v>2557</v>
      </c>
      <c r="E547" s="2" t="s">
        <v>399</v>
      </c>
      <c r="F547" s="2" t="s">
        <v>398</v>
      </c>
      <c r="G547" s="2" t="str">
        <f>IF(CustomerTable[[#This Row],[Status]]="RESOLVED","Done",IF(CustomerTable[[#This Row],[Status]]="CLOSED","DONE",IF(CustomerTable[[#This Row],[Status]]="DEFERRED","Done","Pending")))</f>
        <v>Done</v>
      </c>
      <c r="H547" s="2" t="s">
        <v>1034</v>
      </c>
      <c r="I547" s="2" t="s">
        <v>395</v>
      </c>
      <c r="J547" s="2" t="s">
        <v>1576</v>
      </c>
      <c r="K547" s="16">
        <v>46081</v>
      </c>
      <c r="M547" s="16">
        <v>46132</v>
      </c>
    </row>
    <row r="548" spans="1:13" x14ac:dyDescent="0.4">
      <c r="A548" s="2" t="s">
        <v>589</v>
      </c>
      <c r="B548" s="2">
        <f>VALUE(REPLACE(CustomerTable[[#This Row],[Ticket]],1,3,""))</f>
        <v>809</v>
      </c>
      <c r="C548" s="2" t="s">
        <v>1023</v>
      </c>
      <c r="D548" s="2" t="s">
        <v>2558</v>
      </c>
      <c r="E548" s="2" t="s">
        <v>405</v>
      </c>
      <c r="F548" s="2" t="s">
        <v>398</v>
      </c>
      <c r="G548" s="2" t="str">
        <f>IF(CustomerTable[[#This Row],[Status]]="RESOLVED","Done",IF(CustomerTable[[#This Row],[Status]]="CLOSED","DONE",IF(CustomerTable[[#This Row],[Status]]="DEFERRED","Done","Pending")))</f>
        <v>Done</v>
      </c>
      <c r="H548" s="2" t="s">
        <v>1028</v>
      </c>
      <c r="I548" s="2" t="s">
        <v>389</v>
      </c>
      <c r="J548" s="2" t="s">
        <v>1577</v>
      </c>
      <c r="K548" s="16">
        <v>46081</v>
      </c>
      <c r="M548" s="16">
        <v>46091</v>
      </c>
    </row>
    <row r="549" spans="1:13" x14ac:dyDescent="0.4">
      <c r="A549" s="2" t="s">
        <v>590</v>
      </c>
      <c r="B549" s="2">
        <f>VALUE(REPLACE(CustomerTable[[#This Row],[Ticket]],1,3,""))</f>
        <v>810</v>
      </c>
      <c r="C549" s="2" t="s">
        <v>1023</v>
      </c>
      <c r="D549" s="2" t="s">
        <v>2559</v>
      </c>
      <c r="E549" s="2" t="s">
        <v>405</v>
      </c>
      <c r="F549" s="2" t="s">
        <v>398</v>
      </c>
      <c r="G549" s="2" t="str">
        <f>IF(CustomerTable[[#This Row],[Status]]="RESOLVED","Done",IF(CustomerTable[[#This Row],[Status]]="CLOSED","DONE",IF(CustomerTable[[#This Row],[Status]]="DEFERRED","Done","Pending")))</f>
        <v>Done</v>
      </c>
      <c r="H549" s="2" t="s">
        <v>1032</v>
      </c>
      <c r="I549" s="2" t="s">
        <v>390</v>
      </c>
      <c r="J549" s="2" t="s">
        <v>1578</v>
      </c>
      <c r="K549" s="16">
        <v>46081</v>
      </c>
      <c r="M549" s="16">
        <v>46104</v>
      </c>
    </row>
    <row r="550" spans="1:13" x14ac:dyDescent="0.4">
      <c r="A550" s="2" t="s">
        <v>591</v>
      </c>
      <c r="B550" s="2">
        <f>VALUE(REPLACE(CustomerTable[[#This Row],[Ticket]],1,3,""))</f>
        <v>811</v>
      </c>
      <c r="C550" s="2" t="s">
        <v>1023</v>
      </c>
      <c r="D550" s="2" t="s">
        <v>2560</v>
      </c>
      <c r="E550" s="2" t="s">
        <v>399</v>
      </c>
      <c r="F550" s="2" t="s">
        <v>398</v>
      </c>
      <c r="G550" s="2" t="str">
        <f>IF(CustomerTable[[#This Row],[Status]]="RESOLVED","Done",IF(CustomerTable[[#This Row],[Status]]="CLOSED","DONE",IF(CustomerTable[[#This Row],[Status]]="DEFERRED","Done","Pending")))</f>
        <v>Done</v>
      </c>
      <c r="H550" s="2" t="s">
        <v>1032</v>
      </c>
      <c r="I550" s="2" t="s">
        <v>390</v>
      </c>
      <c r="J550" s="2" t="s">
        <v>1579</v>
      </c>
      <c r="K550" s="16">
        <v>46081</v>
      </c>
      <c r="M550" s="16">
        <v>46128</v>
      </c>
    </row>
    <row r="551" spans="1:13" x14ac:dyDescent="0.4">
      <c r="A551" s="2" t="s">
        <v>592</v>
      </c>
      <c r="B551" s="2">
        <f>VALUE(REPLACE(CustomerTable[[#This Row],[Ticket]],1,3,""))</f>
        <v>812</v>
      </c>
      <c r="C551" s="2" t="s">
        <v>1023</v>
      </c>
      <c r="D551" s="2" t="s">
        <v>2561</v>
      </c>
      <c r="E551" s="2" t="s">
        <v>405</v>
      </c>
      <c r="F551" s="2" t="s">
        <v>398</v>
      </c>
      <c r="G551" s="2" t="str">
        <f>IF(CustomerTable[[#This Row],[Status]]="RESOLVED","Done",IF(CustomerTable[[#This Row],[Status]]="CLOSED","DONE",IF(CustomerTable[[#This Row],[Status]]="DEFERRED","Done","Pending")))</f>
        <v>Done</v>
      </c>
      <c r="H551" s="2" t="s">
        <v>1028</v>
      </c>
      <c r="I551" s="2" t="s">
        <v>392</v>
      </c>
      <c r="J551" s="2" t="s">
        <v>1580</v>
      </c>
      <c r="K551" s="16">
        <v>46081</v>
      </c>
      <c r="M551" s="16">
        <v>46084</v>
      </c>
    </row>
    <row r="552" spans="1:13" x14ac:dyDescent="0.4">
      <c r="A552" s="2" t="s">
        <v>593</v>
      </c>
      <c r="B552" s="2">
        <f>VALUE(REPLACE(CustomerTable[[#This Row],[Ticket]],1,3,""))</f>
        <v>813</v>
      </c>
      <c r="C552" s="2" t="s">
        <v>1023</v>
      </c>
      <c r="D552" s="2" t="s">
        <v>2562</v>
      </c>
      <c r="E552" s="2" t="s">
        <v>405</v>
      </c>
      <c r="F552" s="2" t="s">
        <v>398</v>
      </c>
      <c r="G552" s="2" t="str">
        <f>IF(CustomerTable[[#This Row],[Status]]="RESOLVED","Done",IF(CustomerTable[[#This Row],[Status]]="CLOSED","DONE",IF(CustomerTable[[#This Row],[Status]]="DEFERRED","Done","Pending")))</f>
        <v>Done</v>
      </c>
      <c r="H552" s="2" t="s">
        <v>11</v>
      </c>
      <c r="I552" s="2" t="s">
        <v>394</v>
      </c>
      <c r="J552" s="2" t="s">
        <v>1581</v>
      </c>
      <c r="K552" s="16">
        <v>46081</v>
      </c>
      <c r="M552" s="16">
        <v>46099</v>
      </c>
    </row>
    <row r="553" spans="1:13" x14ac:dyDescent="0.4">
      <c r="A553" s="2" t="s">
        <v>594</v>
      </c>
      <c r="B553" s="2">
        <f>VALUE(REPLACE(CustomerTable[[#This Row],[Ticket]],1,3,""))</f>
        <v>814</v>
      </c>
      <c r="C553" s="2" t="s">
        <v>1023</v>
      </c>
      <c r="D553" s="2" t="s">
        <v>2563</v>
      </c>
      <c r="E553" s="2" t="s">
        <v>405</v>
      </c>
      <c r="F553" s="2" t="s">
        <v>398</v>
      </c>
      <c r="G553" s="2" t="str">
        <f>IF(CustomerTable[[#This Row],[Status]]="RESOLVED","Done",IF(CustomerTable[[#This Row],[Status]]="CLOSED","DONE",IF(CustomerTable[[#This Row],[Status]]="DEFERRED","Done","Pending")))</f>
        <v>Done</v>
      </c>
      <c r="H553" s="2" t="s">
        <v>11</v>
      </c>
      <c r="I553" s="2" t="s">
        <v>394</v>
      </c>
      <c r="J553" s="2" t="s">
        <v>1582</v>
      </c>
      <c r="K553" s="16">
        <v>46081</v>
      </c>
      <c r="M553" s="16">
        <v>46099</v>
      </c>
    </row>
    <row r="554" spans="1:13" x14ac:dyDescent="0.4">
      <c r="A554" s="2" t="s">
        <v>595</v>
      </c>
      <c r="B554" s="2">
        <f>VALUE(REPLACE(CustomerTable[[#This Row],[Ticket]],1,3,""))</f>
        <v>815</v>
      </c>
      <c r="C554" s="2" t="s">
        <v>1023</v>
      </c>
      <c r="D554" s="2" t="s">
        <v>2564</v>
      </c>
      <c r="E554" s="2" t="s">
        <v>405</v>
      </c>
      <c r="F554" s="2" t="s">
        <v>398</v>
      </c>
      <c r="G554" s="2" t="str">
        <f>IF(CustomerTable[[#This Row],[Status]]="RESOLVED","Done",IF(CustomerTable[[#This Row],[Status]]="CLOSED","DONE",IF(CustomerTable[[#This Row],[Status]]="DEFERRED","Done","Pending")))</f>
        <v>Done</v>
      </c>
      <c r="H554" s="2" t="s">
        <v>1028</v>
      </c>
      <c r="I554" s="2" t="s">
        <v>389</v>
      </c>
      <c r="J554" s="2" t="s">
        <v>1583</v>
      </c>
      <c r="K554" s="16">
        <v>46081</v>
      </c>
      <c r="M554" s="16">
        <v>46084</v>
      </c>
    </row>
    <row r="555" spans="1:13" x14ac:dyDescent="0.4">
      <c r="A555" s="2" t="s">
        <v>596</v>
      </c>
      <c r="B555" s="2">
        <f>VALUE(REPLACE(CustomerTable[[#This Row],[Ticket]],1,3,""))</f>
        <v>816</v>
      </c>
      <c r="C555" s="2" t="s">
        <v>1023</v>
      </c>
      <c r="D555" s="2" t="s">
        <v>2565</v>
      </c>
      <c r="E555" s="2" t="s">
        <v>399</v>
      </c>
      <c r="F555" s="2" t="s">
        <v>398</v>
      </c>
      <c r="G555" s="2" t="str">
        <f>IF(CustomerTable[[#This Row],[Status]]="RESOLVED","Done",IF(CustomerTable[[#This Row],[Status]]="CLOSED","DONE",IF(CustomerTable[[#This Row],[Status]]="DEFERRED","Done","Pending")))</f>
        <v>Done</v>
      </c>
      <c r="H555" s="2" t="s">
        <v>1028</v>
      </c>
      <c r="I555" s="2" t="s">
        <v>391</v>
      </c>
      <c r="J555" s="2" t="s">
        <v>1584</v>
      </c>
      <c r="K555" s="16">
        <v>46081</v>
      </c>
      <c r="M555" s="16">
        <v>46085</v>
      </c>
    </row>
    <row r="556" spans="1:13" x14ac:dyDescent="0.4">
      <c r="A556" s="2" t="s">
        <v>597</v>
      </c>
      <c r="B556" s="2">
        <f>VALUE(REPLACE(CustomerTable[[#This Row],[Ticket]],1,3,""))</f>
        <v>817</v>
      </c>
      <c r="C556" s="2" t="s">
        <v>1023</v>
      </c>
      <c r="D556" s="2" t="s">
        <v>2566</v>
      </c>
      <c r="E556" s="2" t="s">
        <v>405</v>
      </c>
      <c r="F556" s="2" t="s">
        <v>398</v>
      </c>
      <c r="G556" s="2" t="str">
        <f>IF(CustomerTable[[#This Row],[Status]]="RESOLVED","Done",IF(CustomerTable[[#This Row],[Status]]="CLOSED","DONE",IF(CustomerTable[[#This Row],[Status]]="DEFERRED","Done","Pending")))</f>
        <v>Done</v>
      </c>
      <c r="H556" s="2" t="s">
        <v>1028</v>
      </c>
      <c r="I556" s="2" t="s">
        <v>389</v>
      </c>
      <c r="J556" s="2" t="s">
        <v>1585</v>
      </c>
      <c r="K556" s="16">
        <v>46081</v>
      </c>
      <c r="M556" s="16">
        <v>46083</v>
      </c>
    </row>
    <row r="557" spans="1:13" x14ac:dyDescent="0.4">
      <c r="A557" s="2" t="s">
        <v>598</v>
      </c>
      <c r="B557" s="2">
        <f>VALUE(REPLACE(CustomerTable[[#This Row],[Ticket]],1,3,""))</f>
        <v>818</v>
      </c>
      <c r="C557" s="2" t="s">
        <v>1023</v>
      </c>
      <c r="D557" s="2" t="s">
        <v>2567</v>
      </c>
      <c r="E557" s="2" t="s">
        <v>405</v>
      </c>
      <c r="F557" s="2" t="s">
        <v>398</v>
      </c>
      <c r="G557" s="2" t="str">
        <f>IF(CustomerTable[[#This Row],[Status]]="RESOLVED","Done",IF(CustomerTable[[#This Row],[Status]]="CLOSED","DONE",IF(CustomerTable[[#This Row],[Status]]="DEFERRED","Done","Pending")))</f>
        <v>Done</v>
      </c>
      <c r="H557" s="2" t="s">
        <v>11</v>
      </c>
      <c r="I557" s="2" t="s">
        <v>394</v>
      </c>
      <c r="J557" s="2" t="s">
        <v>1586</v>
      </c>
      <c r="K557" s="16">
        <v>46081</v>
      </c>
      <c r="M557" s="16">
        <v>46099</v>
      </c>
    </row>
    <row r="558" spans="1:13" x14ac:dyDescent="0.4">
      <c r="A558" s="2" t="s">
        <v>599</v>
      </c>
      <c r="B558" s="2">
        <f>VALUE(REPLACE(CustomerTable[[#This Row],[Ticket]],1,3,""))</f>
        <v>819</v>
      </c>
      <c r="C558" s="2" t="s">
        <v>1023</v>
      </c>
      <c r="D558" s="2" t="s">
        <v>2568</v>
      </c>
      <c r="E558" s="2" t="s">
        <v>405</v>
      </c>
      <c r="F558" s="2" t="s">
        <v>398</v>
      </c>
      <c r="G558" s="2" t="str">
        <f>IF(CustomerTable[[#This Row],[Status]]="RESOLVED","Done",IF(CustomerTable[[#This Row],[Status]]="CLOSED","DONE",IF(CustomerTable[[#This Row],[Status]]="DEFERRED","Done","Pending")))</f>
        <v>Done</v>
      </c>
      <c r="H558" s="2" t="s">
        <v>11</v>
      </c>
      <c r="I558" s="2" t="s">
        <v>390</v>
      </c>
      <c r="J558" s="2" t="s">
        <v>1587</v>
      </c>
      <c r="K558" s="16">
        <v>46081</v>
      </c>
      <c r="M558" s="16">
        <v>46119</v>
      </c>
    </row>
    <row r="559" spans="1:13" x14ac:dyDescent="0.4">
      <c r="A559" s="2" t="s">
        <v>600</v>
      </c>
      <c r="B559" s="2">
        <f>VALUE(REPLACE(CustomerTable[[#This Row],[Ticket]],1,3,""))</f>
        <v>820</v>
      </c>
      <c r="C559" s="2" t="s">
        <v>1023</v>
      </c>
      <c r="D559" s="2" t="s">
        <v>2569</v>
      </c>
      <c r="E559" s="2" t="s">
        <v>405</v>
      </c>
      <c r="F559" s="2" t="s">
        <v>398</v>
      </c>
      <c r="G559" s="2" t="str">
        <f>IF(CustomerTable[[#This Row],[Status]]="RESOLVED","Done",IF(CustomerTable[[#This Row],[Status]]="CLOSED","DONE",IF(CustomerTable[[#This Row],[Status]]="DEFERRED","Done","Pending")))</f>
        <v>Done</v>
      </c>
      <c r="H559" s="2" t="s">
        <v>11</v>
      </c>
      <c r="I559" s="2" t="s">
        <v>394</v>
      </c>
      <c r="J559" s="2" t="s">
        <v>1588</v>
      </c>
      <c r="K559" s="16">
        <v>46085</v>
      </c>
      <c r="M559" s="16">
        <v>46099</v>
      </c>
    </row>
    <row r="560" spans="1:13" x14ac:dyDescent="0.4">
      <c r="A560" s="2" t="s">
        <v>601</v>
      </c>
      <c r="B560" s="2">
        <f>VALUE(REPLACE(CustomerTable[[#This Row],[Ticket]],1,3,""))</f>
        <v>821</v>
      </c>
      <c r="C560" s="2" t="s">
        <v>1023</v>
      </c>
      <c r="D560" s="2" t="s">
        <v>2570</v>
      </c>
      <c r="E560" s="2" t="s">
        <v>405</v>
      </c>
      <c r="F560" s="2" t="s">
        <v>398</v>
      </c>
      <c r="G560" s="2" t="str">
        <f>IF(CustomerTable[[#This Row],[Status]]="RESOLVED","Done",IF(CustomerTable[[#This Row],[Status]]="CLOSED","DONE",IF(CustomerTable[[#This Row],[Status]]="DEFERRED","Done","Pending")))</f>
        <v>Done</v>
      </c>
      <c r="H560" s="2" t="s">
        <v>1028</v>
      </c>
      <c r="I560" s="2" t="s">
        <v>389</v>
      </c>
      <c r="J560" s="2" t="s">
        <v>1589</v>
      </c>
      <c r="K560" s="16">
        <v>46085</v>
      </c>
      <c r="M560" s="16">
        <v>46099</v>
      </c>
    </row>
    <row r="561" spans="1:13" x14ac:dyDescent="0.4">
      <c r="A561" s="2" t="s">
        <v>602</v>
      </c>
      <c r="B561" s="2">
        <f>VALUE(REPLACE(CustomerTable[[#This Row],[Ticket]],1,3,""))</f>
        <v>822</v>
      </c>
      <c r="C561" s="2" t="s">
        <v>1023</v>
      </c>
      <c r="D561" s="2" t="s">
        <v>2571</v>
      </c>
      <c r="E561" s="2" t="s">
        <v>405</v>
      </c>
      <c r="F561" s="2" t="s">
        <v>398</v>
      </c>
      <c r="G561" s="2" t="str">
        <f>IF(CustomerTable[[#This Row],[Status]]="RESOLVED","Done",IF(CustomerTable[[#This Row],[Status]]="CLOSED","DONE",IF(CustomerTable[[#This Row],[Status]]="DEFERRED","Done","Pending")))</f>
        <v>Done</v>
      </c>
      <c r="H561" s="2" t="s">
        <v>11</v>
      </c>
      <c r="I561" s="2" t="s">
        <v>394</v>
      </c>
      <c r="J561" s="2" t="s">
        <v>1590</v>
      </c>
      <c r="K561" s="16">
        <v>46085</v>
      </c>
      <c r="M561" s="16">
        <v>46099</v>
      </c>
    </row>
    <row r="562" spans="1:13" x14ac:dyDescent="0.4">
      <c r="A562" s="2" t="s">
        <v>603</v>
      </c>
      <c r="B562" s="2">
        <f>VALUE(REPLACE(CustomerTable[[#This Row],[Ticket]],1,3,""))</f>
        <v>823</v>
      </c>
      <c r="C562" s="2" t="s">
        <v>1023</v>
      </c>
      <c r="D562" s="2" t="s">
        <v>2572</v>
      </c>
      <c r="E562" s="2" t="s">
        <v>405</v>
      </c>
      <c r="F562" s="2" t="s">
        <v>398</v>
      </c>
      <c r="G562" s="2" t="str">
        <f>IF(CustomerTable[[#This Row],[Status]]="RESOLVED","Done",IF(CustomerTable[[#This Row],[Status]]="CLOSED","DONE",IF(CustomerTable[[#This Row],[Status]]="DEFERRED","Done","Pending")))</f>
        <v>Done</v>
      </c>
      <c r="H562" s="2" t="s">
        <v>11</v>
      </c>
      <c r="I562" s="2" t="s">
        <v>394</v>
      </c>
      <c r="J562" s="2" t="s">
        <v>1591</v>
      </c>
      <c r="K562" s="16">
        <v>46085</v>
      </c>
      <c r="M562" s="16">
        <v>46100</v>
      </c>
    </row>
    <row r="563" spans="1:13" x14ac:dyDescent="0.4">
      <c r="A563" s="2" t="s">
        <v>604</v>
      </c>
      <c r="B563" s="2">
        <f>VALUE(REPLACE(CustomerTable[[#This Row],[Ticket]],1,3,""))</f>
        <v>824</v>
      </c>
      <c r="C563" s="2" t="s">
        <v>1023</v>
      </c>
      <c r="D563" s="2" t="s">
        <v>2573</v>
      </c>
      <c r="E563" s="2" t="s">
        <v>405</v>
      </c>
      <c r="F563" s="2" t="s">
        <v>398</v>
      </c>
      <c r="G563" s="2" t="str">
        <f>IF(CustomerTable[[#This Row],[Status]]="RESOLVED","Done",IF(CustomerTable[[#This Row],[Status]]="CLOSED","DONE",IF(CustomerTable[[#This Row],[Status]]="DEFERRED","Done","Pending")))</f>
        <v>Done</v>
      </c>
      <c r="H563" s="2" t="s">
        <v>11</v>
      </c>
      <c r="I563" s="2" t="s">
        <v>394</v>
      </c>
      <c r="J563" s="2" t="s">
        <v>1592</v>
      </c>
      <c r="K563" s="16">
        <v>46085</v>
      </c>
      <c r="M563" s="16">
        <v>46100</v>
      </c>
    </row>
    <row r="564" spans="1:13" x14ac:dyDescent="0.4">
      <c r="A564" s="2" t="s">
        <v>605</v>
      </c>
      <c r="B564" s="2">
        <f>VALUE(REPLACE(CustomerTable[[#This Row],[Ticket]],1,3,""))</f>
        <v>825</v>
      </c>
      <c r="C564" s="2" t="s">
        <v>1023</v>
      </c>
      <c r="D564" s="2" t="s">
        <v>2574</v>
      </c>
      <c r="E564" s="2" t="s">
        <v>405</v>
      </c>
      <c r="F564" s="2" t="s">
        <v>398</v>
      </c>
      <c r="G564" s="2" t="str">
        <f>IF(CustomerTable[[#This Row],[Status]]="RESOLVED","Done",IF(CustomerTable[[#This Row],[Status]]="CLOSED","DONE",IF(CustomerTable[[#This Row],[Status]]="DEFERRED","Done","Pending")))</f>
        <v>Done</v>
      </c>
      <c r="H564" s="2" t="s">
        <v>11</v>
      </c>
      <c r="I564" s="2" t="s">
        <v>394</v>
      </c>
      <c r="J564" s="2" t="s">
        <v>1593</v>
      </c>
      <c r="K564" s="16">
        <v>46085</v>
      </c>
      <c r="M564" s="16">
        <v>46100</v>
      </c>
    </row>
    <row r="565" spans="1:13" x14ac:dyDescent="0.4">
      <c r="A565" s="2" t="s">
        <v>606</v>
      </c>
      <c r="B565" s="2">
        <f>VALUE(REPLACE(CustomerTable[[#This Row],[Ticket]],1,3,""))</f>
        <v>826</v>
      </c>
      <c r="C565" s="2" t="s">
        <v>1023</v>
      </c>
      <c r="D565" s="2" t="s">
        <v>2575</v>
      </c>
      <c r="E565" s="2" t="s">
        <v>405</v>
      </c>
      <c r="F565" s="2" t="s">
        <v>398</v>
      </c>
      <c r="G565" s="2" t="str">
        <f>IF(CustomerTable[[#This Row],[Status]]="RESOLVED","Done",IF(CustomerTable[[#This Row],[Status]]="CLOSED","DONE",IF(CustomerTable[[#This Row],[Status]]="DEFERRED","Done","Pending")))</f>
        <v>Done</v>
      </c>
      <c r="H565" s="2" t="s">
        <v>11</v>
      </c>
      <c r="I565" s="2" t="s">
        <v>394</v>
      </c>
      <c r="J565" s="2" t="s">
        <v>1594</v>
      </c>
      <c r="K565" s="16">
        <v>46085</v>
      </c>
      <c r="M565" s="16">
        <v>46100</v>
      </c>
    </row>
    <row r="566" spans="1:13" x14ac:dyDescent="0.4">
      <c r="A566" s="2" t="s">
        <v>607</v>
      </c>
      <c r="B566" s="2">
        <f>VALUE(REPLACE(CustomerTable[[#This Row],[Ticket]],1,3,""))</f>
        <v>827</v>
      </c>
      <c r="C566" s="2" t="s">
        <v>1023</v>
      </c>
      <c r="D566" s="2" t="s">
        <v>2576</v>
      </c>
      <c r="E566" s="2" t="s">
        <v>405</v>
      </c>
      <c r="F566" s="2" t="s">
        <v>398</v>
      </c>
      <c r="G566" s="2" t="str">
        <f>IF(CustomerTable[[#This Row],[Status]]="RESOLVED","Done",IF(CustomerTable[[#This Row],[Status]]="CLOSED","DONE",IF(CustomerTable[[#This Row],[Status]]="DEFERRED","Done","Pending")))</f>
        <v>Done</v>
      </c>
      <c r="H566" s="2" t="s">
        <v>11</v>
      </c>
      <c r="I566" s="2" t="s">
        <v>394</v>
      </c>
      <c r="J566" s="2" t="s">
        <v>1595</v>
      </c>
      <c r="K566" s="16">
        <v>46085</v>
      </c>
      <c r="M566" s="16">
        <v>46100</v>
      </c>
    </row>
    <row r="567" spans="1:13" x14ac:dyDescent="0.4">
      <c r="A567" s="2" t="s">
        <v>608</v>
      </c>
      <c r="B567" s="2">
        <f>VALUE(REPLACE(CustomerTable[[#This Row],[Ticket]],1,3,""))</f>
        <v>828</v>
      </c>
      <c r="C567" s="2" t="s">
        <v>1023</v>
      </c>
      <c r="D567" s="2" t="s">
        <v>2577</v>
      </c>
      <c r="E567" s="2" t="s">
        <v>405</v>
      </c>
      <c r="F567" s="2" t="s">
        <v>398</v>
      </c>
      <c r="G567" s="2" t="str">
        <f>IF(CustomerTable[[#This Row],[Status]]="RESOLVED","Done",IF(CustomerTable[[#This Row],[Status]]="CLOSED","DONE",IF(CustomerTable[[#This Row],[Status]]="DEFERRED","Done","Pending")))</f>
        <v>Done</v>
      </c>
      <c r="H567" s="2" t="s">
        <v>11</v>
      </c>
      <c r="I567" s="2" t="s">
        <v>394</v>
      </c>
      <c r="J567" s="2" t="s">
        <v>1596</v>
      </c>
      <c r="K567" s="16">
        <v>46085</v>
      </c>
      <c r="M567" s="16">
        <v>46100</v>
      </c>
    </row>
    <row r="568" spans="1:13" x14ac:dyDescent="0.4">
      <c r="A568" s="2" t="s">
        <v>653</v>
      </c>
      <c r="B568" s="2">
        <f>VALUE(REPLACE(CustomerTable[[#This Row],[Ticket]],1,3,""))</f>
        <v>829</v>
      </c>
      <c r="C568" s="2" t="s">
        <v>1023</v>
      </c>
      <c r="D568" s="2" t="s">
        <v>2578</v>
      </c>
      <c r="E568" s="2" t="s">
        <v>405</v>
      </c>
      <c r="F568" s="2" t="s">
        <v>398</v>
      </c>
      <c r="G568" s="2" t="str">
        <f>IF(CustomerTable[[#This Row],[Status]]="RESOLVED","Done",IF(CustomerTable[[#This Row],[Status]]="CLOSED","DONE",IF(CustomerTable[[#This Row],[Status]]="DEFERRED","Done","Pending")))</f>
        <v>Done</v>
      </c>
      <c r="H568" s="2" t="s">
        <v>1028</v>
      </c>
      <c r="I568" s="2" t="s">
        <v>391</v>
      </c>
      <c r="J568" s="2" t="s">
        <v>1597</v>
      </c>
      <c r="K568" s="16">
        <v>46085</v>
      </c>
      <c r="M568" s="16">
        <v>46127</v>
      </c>
    </row>
    <row r="569" spans="1:13" x14ac:dyDescent="0.4">
      <c r="A569" s="2" t="s">
        <v>609</v>
      </c>
      <c r="B569" s="2">
        <f>VALUE(REPLACE(CustomerTable[[#This Row],[Ticket]],1,3,""))</f>
        <v>830</v>
      </c>
      <c r="C569" s="2" t="s">
        <v>1023</v>
      </c>
      <c r="D569" s="2" t="s">
        <v>2579</v>
      </c>
      <c r="E569" s="2" t="s">
        <v>405</v>
      </c>
      <c r="F569" s="2" t="s">
        <v>398</v>
      </c>
      <c r="G569" s="2" t="str">
        <f>IF(CustomerTable[[#This Row],[Status]]="RESOLVED","Done",IF(CustomerTable[[#This Row],[Status]]="CLOSED","DONE",IF(CustomerTable[[#This Row],[Status]]="DEFERRED","Done","Pending")))</f>
        <v>Done</v>
      </c>
      <c r="H569" s="2" t="s">
        <v>1028</v>
      </c>
      <c r="I569" s="2" t="s">
        <v>389</v>
      </c>
      <c r="J569" s="2" t="s">
        <v>1598</v>
      </c>
      <c r="K569" s="16">
        <v>46085</v>
      </c>
      <c r="M569" s="16">
        <v>46092</v>
      </c>
    </row>
    <row r="570" spans="1:13" x14ac:dyDescent="0.4">
      <c r="A570" s="2" t="s">
        <v>610</v>
      </c>
      <c r="B570" s="2">
        <f>VALUE(REPLACE(CustomerTable[[#This Row],[Ticket]],1,3,""))</f>
        <v>831</v>
      </c>
      <c r="C570" s="2" t="s">
        <v>1023</v>
      </c>
      <c r="D570" s="2" t="s">
        <v>2580</v>
      </c>
      <c r="E570" s="2" t="s">
        <v>405</v>
      </c>
      <c r="F570" s="2" t="s">
        <v>398</v>
      </c>
      <c r="G570" s="2" t="str">
        <f>IF(CustomerTable[[#This Row],[Status]]="RESOLVED","Done",IF(CustomerTable[[#This Row],[Status]]="CLOSED","DONE",IF(CustomerTable[[#This Row],[Status]]="DEFERRED","Done","Pending")))</f>
        <v>Done</v>
      </c>
      <c r="H570" s="2" t="s">
        <v>1028</v>
      </c>
      <c r="I570" s="2" t="s">
        <v>389</v>
      </c>
      <c r="J570" s="2" t="s">
        <v>1599</v>
      </c>
      <c r="K570" s="16">
        <v>46085</v>
      </c>
      <c r="M570" s="16">
        <v>46092</v>
      </c>
    </row>
    <row r="571" spans="1:13" x14ac:dyDescent="0.4">
      <c r="A571" s="2" t="s">
        <v>611</v>
      </c>
      <c r="B571" s="2">
        <f>VALUE(REPLACE(CustomerTable[[#This Row],[Ticket]],1,3,""))</f>
        <v>832</v>
      </c>
      <c r="C571" s="2" t="s">
        <v>1023</v>
      </c>
      <c r="D571" s="2" t="s">
        <v>2581</v>
      </c>
      <c r="E571" s="2" t="s">
        <v>405</v>
      </c>
      <c r="F571" s="2" t="s">
        <v>398</v>
      </c>
      <c r="G571" s="2" t="str">
        <f>IF(CustomerTable[[#This Row],[Status]]="RESOLVED","Done",IF(CustomerTable[[#This Row],[Status]]="CLOSED","DONE",IF(CustomerTable[[#This Row],[Status]]="DEFERRED","Done","Pending")))</f>
        <v>Done</v>
      </c>
      <c r="H571" s="2" t="s">
        <v>11</v>
      </c>
      <c r="I571" s="2" t="s">
        <v>394</v>
      </c>
      <c r="J571" s="2" t="s">
        <v>1600</v>
      </c>
      <c r="K571" s="16">
        <v>46085</v>
      </c>
      <c r="M571" s="16">
        <v>46100</v>
      </c>
    </row>
    <row r="572" spans="1:13" x14ac:dyDescent="0.4">
      <c r="A572" s="2" t="s">
        <v>612</v>
      </c>
      <c r="B572" s="2">
        <f>VALUE(REPLACE(CustomerTable[[#This Row],[Ticket]],1,3,""))</f>
        <v>833</v>
      </c>
      <c r="C572" s="2" t="s">
        <v>1023</v>
      </c>
      <c r="D572" s="2" t="s">
        <v>2582</v>
      </c>
      <c r="E572" s="2" t="s">
        <v>405</v>
      </c>
      <c r="F572" s="2" t="s">
        <v>398</v>
      </c>
      <c r="G572" s="2" t="str">
        <f>IF(CustomerTable[[#This Row],[Status]]="RESOLVED","Done",IF(CustomerTable[[#This Row],[Status]]="CLOSED","DONE",IF(CustomerTable[[#This Row],[Status]]="DEFERRED","Done","Pending")))</f>
        <v>Done</v>
      </c>
      <c r="H572" s="2" t="s">
        <v>11</v>
      </c>
      <c r="I572" s="2" t="s">
        <v>394</v>
      </c>
      <c r="J572" s="2" t="s">
        <v>1601</v>
      </c>
      <c r="K572" s="16">
        <v>46085</v>
      </c>
      <c r="M572" s="16">
        <v>46100</v>
      </c>
    </row>
    <row r="573" spans="1:13" x14ac:dyDescent="0.4">
      <c r="A573" s="2" t="s">
        <v>613</v>
      </c>
      <c r="B573" s="2">
        <f>VALUE(REPLACE(CustomerTable[[#This Row],[Ticket]],1,3,""))</f>
        <v>834</v>
      </c>
      <c r="C573" s="2" t="s">
        <v>1023</v>
      </c>
      <c r="D573" s="2" t="s">
        <v>2583</v>
      </c>
      <c r="E573" s="2" t="s">
        <v>405</v>
      </c>
      <c r="F573" s="2" t="s">
        <v>398</v>
      </c>
      <c r="G573" s="2" t="str">
        <f>IF(CustomerTable[[#This Row],[Status]]="RESOLVED","Done",IF(CustomerTable[[#This Row],[Status]]="CLOSED","DONE",IF(CustomerTable[[#This Row],[Status]]="DEFERRED","Done","Pending")))</f>
        <v>Done</v>
      </c>
      <c r="H573" s="2" t="s">
        <v>1028</v>
      </c>
      <c r="I573" s="2" t="s">
        <v>392</v>
      </c>
      <c r="J573" s="2" t="s">
        <v>1602</v>
      </c>
      <c r="K573" s="16">
        <v>46085</v>
      </c>
      <c r="M573" s="16">
        <v>46097</v>
      </c>
    </row>
    <row r="574" spans="1:13" x14ac:dyDescent="0.4">
      <c r="A574" s="2" t="s">
        <v>614</v>
      </c>
      <c r="B574" s="2">
        <f>VALUE(REPLACE(CustomerTable[[#This Row],[Ticket]],1,3,""))</f>
        <v>835</v>
      </c>
      <c r="C574" s="2" t="s">
        <v>1023</v>
      </c>
      <c r="D574" s="2" t="s">
        <v>2584</v>
      </c>
      <c r="E574" s="2" t="s">
        <v>405</v>
      </c>
      <c r="F574" s="2" t="s">
        <v>398</v>
      </c>
      <c r="G574" s="2" t="str">
        <f>IF(CustomerTable[[#This Row],[Status]]="RESOLVED","Done",IF(CustomerTable[[#This Row],[Status]]="CLOSED","DONE",IF(CustomerTable[[#This Row],[Status]]="DEFERRED","Done","Pending")))</f>
        <v>Done</v>
      </c>
      <c r="H574" s="2" t="s">
        <v>1028</v>
      </c>
      <c r="I574" s="2" t="s">
        <v>392</v>
      </c>
      <c r="J574" s="2" t="s">
        <v>1603</v>
      </c>
      <c r="K574" s="16">
        <v>46085</v>
      </c>
      <c r="M574" s="16">
        <v>46100</v>
      </c>
    </row>
    <row r="575" spans="1:13" x14ac:dyDescent="0.4">
      <c r="A575" s="2" t="s">
        <v>615</v>
      </c>
      <c r="B575" s="2">
        <f>VALUE(REPLACE(CustomerTable[[#This Row],[Ticket]],1,3,""))</f>
        <v>836</v>
      </c>
      <c r="C575" s="2" t="s">
        <v>1023</v>
      </c>
      <c r="D575" s="2" t="s">
        <v>2585</v>
      </c>
      <c r="E575" s="2" t="s">
        <v>405</v>
      </c>
      <c r="F575" s="2" t="s">
        <v>398</v>
      </c>
      <c r="G575" s="2" t="str">
        <f>IF(CustomerTable[[#This Row],[Status]]="RESOLVED","Done",IF(CustomerTable[[#This Row],[Status]]="CLOSED","DONE",IF(CustomerTable[[#This Row],[Status]]="DEFERRED","Done","Pending")))</f>
        <v>Done</v>
      </c>
      <c r="H575" s="2" t="s">
        <v>1028</v>
      </c>
      <c r="I575" s="2" t="s">
        <v>391</v>
      </c>
      <c r="J575" s="2" t="s">
        <v>1604</v>
      </c>
      <c r="K575" s="16">
        <v>46087</v>
      </c>
      <c r="M575" s="16">
        <v>46092</v>
      </c>
    </row>
    <row r="576" spans="1:13" x14ac:dyDescent="0.4">
      <c r="A576" s="2" t="s">
        <v>616</v>
      </c>
      <c r="B576" s="2">
        <f>VALUE(REPLACE(CustomerTable[[#This Row],[Ticket]],1,3,""))</f>
        <v>837</v>
      </c>
      <c r="C576" s="2" t="s">
        <v>1023</v>
      </c>
      <c r="D576" s="2" t="s">
        <v>2586</v>
      </c>
      <c r="E576" s="2" t="s">
        <v>405</v>
      </c>
      <c r="F576" s="2" t="s">
        <v>398</v>
      </c>
      <c r="G576" s="2" t="str">
        <f>IF(CustomerTable[[#This Row],[Status]]="RESOLVED","Done",IF(CustomerTable[[#This Row],[Status]]="CLOSED","DONE",IF(CustomerTable[[#This Row],[Status]]="DEFERRED","Done","Pending")))</f>
        <v>Done</v>
      </c>
      <c r="H576" s="2" t="s">
        <v>11</v>
      </c>
      <c r="I576" s="2" t="s">
        <v>394</v>
      </c>
      <c r="J576" s="2" t="s">
        <v>1605</v>
      </c>
      <c r="K576" s="16">
        <v>46087</v>
      </c>
      <c r="M576" s="16">
        <v>46100</v>
      </c>
    </row>
    <row r="577" spans="1:13" x14ac:dyDescent="0.4">
      <c r="A577" s="2" t="s">
        <v>617</v>
      </c>
      <c r="B577" s="2">
        <f>VALUE(REPLACE(CustomerTable[[#This Row],[Ticket]],1,3,""))</f>
        <v>838</v>
      </c>
      <c r="C577" s="2" t="s">
        <v>1023</v>
      </c>
      <c r="D577" s="2" t="s">
        <v>2587</v>
      </c>
      <c r="E577" s="2" t="s">
        <v>405</v>
      </c>
      <c r="F577" s="2" t="s">
        <v>398</v>
      </c>
      <c r="G577" s="2" t="str">
        <f>IF(CustomerTable[[#This Row],[Status]]="RESOLVED","Done",IF(CustomerTable[[#This Row],[Status]]="CLOSED","DONE",IF(CustomerTable[[#This Row],[Status]]="DEFERRED","Done","Pending")))</f>
        <v>Done</v>
      </c>
      <c r="H577" s="2" t="s">
        <v>1028</v>
      </c>
      <c r="I577" s="2" t="s">
        <v>390</v>
      </c>
      <c r="J577" s="2" t="s">
        <v>1606</v>
      </c>
      <c r="K577" s="16">
        <v>46087</v>
      </c>
      <c r="M577" s="16">
        <v>46104</v>
      </c>
    </row>
    <row r="578" spans="1:13" x14ac:dyDescent="0.4">
      <c r="A578" s="2" t="s">
        <v>618</v>
      </c>
      <c r="B578" s="2">
        <f>VALUE(REPLACE(CustomerTable[[#This Row],[Ticket]],1,3,""))</f>
        <v>839</v>
      </c>
      <c r="C578" s="2" t="s">
        <v>1023</v>
      </c>
      <c r="D578" s="2" t="s">
        <v>2588</v>
      </c>
      <c r="E578" s="2" t="s">
        <v>405</v>
      </c>
      <c r="F578" s="2" t="s">
        <v>398</v>
      </c>
      <c r="G578" s="2" t="str">
        <f>IF(CustomerTable[[#This Row],[Status]]="RESOLVED","Done",IF(CustomerTable[[#This Row],[Status]]="CLOSED","DONE",IF(CustomerTable[[#This Row],[Status]]="DEFERRED","Done","Pending")))</f>
        <v>Done</v>
      </c>
      <c r="H578" s="2" t="s">
        <v>11</v>
      </c>
      <c r="I578" s="2" t="s">
        <v>394</v>
      </c>
      <c r="J578" s="2" t="s">
        <v>1607</v>
      </c>
      <c r="K578" s="16">
        <v>46087</v>
      </c>
      <c r="M578" s="16">
        <v>46100</v>
      </c>
    </row>
    <row r="579" spans="1:13" x14ac:dyDescent="0.4">
      <c r="A579" s="2" t="s">
        <v>619</v>
      </c>
      <c r="B579" s="2">
        <f>VALUE(REPLACE(CustomerTable[[#This Row],[Ticket]],1,3,""))</f>
        <v>840</v>
      </c>
      <c r="C579" s="2" t="s">
        <v>1023</v>
      </c>
      <c r="D579" s="2" t="s">
        <v>2589</v>
      </c>
      <c r="E579" s="2" t="s">
        <v>405</v>
      </c>
      <c r="F579" s="2" t="s">
        <v>398</v>
      </c>
      <c r="G579" s="2" t="str">
        <f>IF(CustomerTable[[#This Row],[Status]]="RESOLVED","Done",IF(CustomerTable[[#This Row],[Status]]="CLOSED","DONE",IF(CustomerTable[[#This Row],[Status]]="DEFERRED","Done","Pending")))</f>
        <v>Done</v>
      </c>
      <c r="H579" s="2" t="s">
        <v>11</v>
      </c>
      <c r="I579" s="2" t="s">
        <v>394</v>
      </c>
      <c r="J579" s="2" t="s">
        <v>1608</v>
      </c>
      <c r="K579" s="16">
        <v>46087</v>
      </c>
      <c r="M579" s="16">
        <v>46100</v>
      </c>
    </row>
    <row r="580" spans="1:13" x14ac:dyDescent="0.4">
      <c r="A580" s="2" t="s">
        <v>620</v>
      </c>
      <c r="B580" s="2">
        <f>VALUE(REPLACE(CustomerTable[[#This Row],[Ticket]],1,3,""))</f>
        <v>841</v>
      </c>
      <c r="C580" s="2" t="s">
        <v>1023</v>
      </c>
      <c r="D580" s="2" t="s">
        <v>2590</v>
      </c>
      <c r="E580" s="2" t="s">
        <v>405</v>
      </c>
      <c r="F580" s="2" t="s">
        <v>398</v>
      </c>
      <c r="G580" s="2" t="str">
        <f>IF(CustomerTable[[#This Row],[Status]]="RESOLVED","Done",IF(CustomerTable[[#This Row],[Status]]="CLOSED","DONE",IF(CustomerTable[[#This Row],[Status]]="DEFERRED","Done","Pending")))</f>
        <v>Done</v>
      </c>
      <c r="H580" s="2" t="s">
        <v>11</v>
      </c>
      <c r="I580" s="2" t="s">
        <v>394</v>
      </c>
      <c r="J580" s="2" t="s">
        <v>1609</v>
      </c>
      <c r="K580" s="16">
        <v>46087</v>
      </c>
      <c r="M580" s="16">
        <v>46100</v>
      </c>
    </row>
    <row r="581" spans="1:13" x14ac:dyDescent="0.4">
      <c r="A581" s="2" t="s">
        <v>621</v>
      </c>
      <c r="B581" s="2">
        <f>VALUE(REPLACE(CustomerTable[[#This Row],[Ticket]],1,3,""))</f>
        <v>842</v>
      </c>
      <c r="C581" s="2" t="s">
        <v>1023</v>
      </c>
      <c r="D581" s="2" t="s">
        <v>2591</v>
      </c>
      <c r="E581" s="2" t="s">
        <v>405</v>
      </c>
      <c r="F581" s="2" t="s">
        <v>398</v>
      </c>
      <c r="G581" s="2" t="str">
        <f>IF(CustomerTable[[#This Row],[Status]]="RESOLVED","Done",IF(CustomerTable[[#This Row],[Status]]="CLOSED","DONE",IF(CustomerTable[[#This Row],[Status]]="DEFERRED","Done","Pending")))</f>
        <v>Done</v>
      </c>
      <c r="H581" s="2" t="s">
        <v>11</v>
      </c>
      <c r="I581" s="2" t="s">
        <v>394</v>
      </c>
      <c r="J581" s="2" t="s">
        <v>1610</v>
      </c>
      <c r="K581" s="16">
        <v>46087</v>
      </c>
      <c r="M581" s="16">
        <v>46100</v>
      </c>
    </row>
    <row r="582" spans="1:13" x14ac:dyDescent="0.4">
      <c r="A582" s="2" t="s">
        <v>622</v>
      </c>
      <c r="B582" s="2">
        <f>VALUE(REPLACE(CustomerTable[[#This Row],[Ticket]],1,3,""))</f>
        <v>843</v>
      </c>
      <c r="C582" s="2" t="s">
        <v>1023</v>
      </c>
      <c r="D582" s="2" t="s">
        <v>2592</v>
      </c>
      <c r="E582" s="2" t="s">
        <v>405</v>
      </c>
      <c r="F582" s="2" t="s">
        <v>398</v>
      </c>
      <c r="G582" s="2" t="str">
        <f>IF(CustomerTable[[#This Row],[Status]]="RESOLVED","Done",IF(CustomerTable[[#This Row],[Status]]="CLOSED","DONE",IF(CustomerTable[[#This Row],[Status]]="DEFERRED","Done","Pending")))</f>
        <v>Done</v>
      </c>
      <c r="H582" s="2" t="s">
        <v>11</v>
      </c>
      <c r="I582" s="2" t="s">
        <v>394</v>
      </c>
      <c r="J582" s="2" t="s">
        <v>1611</v>
      </c>
      <c r="K582" s="16">
        <v>46087</v>
      </c>
      <c r="M582" s="16">
        <v>46100</v>
      </c>
    </row>
    <row r="583" spans="1:13" x14ac:dyDescent="0.4">
      <c r="A583" s="2" t="s">
        <v>623</v>
      </c>
      <c r="B583" s="2">
        <f>VALUE(REPLACE(CustomerTable[[#This Row],[Ticket]],1,3,""))</f>
        <v>844</v>
      </c>
      <c r="C583" s="2" t="s">
        <v>1023</v>
      </c>
      <c r="D583" s="2" t="s">
        <v>2593</v>
      </c>
      <c r="E583" s="2" t="s">
        <v>405</v>
      </c>
      <c r="F583" s="2" t="s">
        <v>398</v>
      </c>
      <c r="G583" s="2" t="str">
        <f>IF(CustomerTable[[#This Row],[Status]]="RESOLVED","Done",IF(CustomerTable[[#This Row],[Status]]="CLOSED","DONE",IF(CustomerTable[[#This Row],[Status]]="DEFERRED","Done","Pending")))</f>
        <v>Done</v>
      </c>
      <c r="H583" s="2" t="s">
        <v>11</v>
      </c>
      <c r="I583" s="2" t="s">
        <v>394</v>
      </c>
      <c r="J583" s="2" t="s">
        <v>1612</v>
      </c>
      <c r="K583" s="16">
        <v>46087</v>
      </c>
      <c r="M583" s="16">
        <v>46100</v>
      </c>
    </row>
    <row r="584" spans="1:13" x14ac:dyDescent="0.4">
      <c r="A584" s="2" t="s">
        <v>624</v>
      </c>
      <c r="B584" s="2">
        <f>VALUE(REPLACE(CustomerTable[[#This Row],[Ticket]],1,3,""))</f>
        <v>845</v>
      </c>
      <c r="C584" s="2" t="s">
        <v>1023</v>
      </c>
      <c r="D584" s="2" t="s">
        <v>2594</v>
      </c>
      <c r="E584" s="2" t="s">
        <v>405</v>
      </c>
      <c r="F584" s="2" t="s">
        <v>398</v>
      </c>
      <c r="G584" s="2" t="str">
        <f>IF(CustomerTable[[#This Row],[Status]]="RESOLVED","Done",IF(CustomerTable[[#This Row],[Status]]="CLOSED","DONE",IF(CustomerTable[[#This Row],[Status]]="DEFERRED","Done","Pending")))</f>
        <v>Done</v>
      </c>
      <c r="H584" s="2" t="s">
        <v>1028</v>
      </c>
      <c r="I584" s="2" t="s">
        <v>390</v>
      </c>
      <c r="J584" s="2" t="s">
        <v>1613</v>
      </c>
      <c r="K584" s="16">
        <v>46087</v>
      </c>
      <c r="M584" s="16">
        <v>46113</v>
      </c>
    </row>
    <row r="585" spans="1:13" x14ac:dyDescent="0.4">
      <c r="A585" s="2" t="s">
        <v>625</v>
      </c>
      <c r="B585" s="2">
        <f>VALUE(REPLACE(CustomerTable[[#This Row],[Ticket]],1,3,""))</f>
        <v>846</v>
      </c>
      <c r="C585" s="2" t="s">
        <v>1023</v>
      </c>
      <c r="D585" s="2" t="s">
        <v>2595</v>
      </c>
      <c r="E585" s="2" t="s">
        <v>405</v>
      </c>
      <c r="F585" s="2" t="s">
        <v>398</v>
      </c>
      <c r="G585" s="2" t="str">
        <f>IF(CustomerTable[[#This Row],[Status]]="RESOLVED","Done",IF(CustomerTable[[#This Row],[Status]]="CLOSED","DONE",IF(CustomerTable[[#This Row],[Status]]="DEFERRED","Done","Pending")))</f>
        <v>Done</v>
      </c>
      <c r="H585" s="2" t="s">
        <v>11</v>
      </c>
      <c r="I585" s="2" t="s">
        <v>394</v>
      </c>
      <c r="J585" s="2" t="s">
        <v>1614</v>
      </c>
      <c r="K585" s="16">
        <v>46087</v>
      </c>
      <c r="M585" s="16">
        <v>46100</v>
      </c>
    </row>
    <row r="586" spans="1:13" x14ac:dyDescent="0.4">
      <c r="A586" s="2" t="s">
        <v>626</v>
      </c>
      <c r="B586" s="2">
        <f>VALUE(REPLACE(CustomerTable[[#This Row],[Ticket]],1,3,""))</f>
        <v>847</v>
      </c>
      <c r="C586" s="2" t="s">
        <v>1023</v>
      </c>
      <c r="D586" s="2" t="s">
        <v>2596</v>
      </c>
      <c r="E586" s="2" t="s">
        <v>405</v>
      </c>
      <c r="F586" s="2" t="s">
        <v>398</v>
      </c>
      <c r="G586" s="2" t="str">
        <f>IF(CustomerTable[[#This Row],[Status]]="RESOLVED","Done",IF(CustomerTable[[#This Row],[Status]]="CLOSED","DONE",IF(CustomerTable[[#This Row],[Status]]="DEFERRED","Done","Pending")))</f>
        <v>Done</v>
      </c>
      <c r="H586" s="2" t="s">
        <v>11</v>
      </c>
      <c r="I586" s="2" t="s">
        <v>394</v>
      </c>
      <c r="J586" s="2" t="s">
        <v>1615</v>
      </c>
      <c r="K586" s="16">
        <v>46087</v>
      </c>
      <c r="M586" s="16">
        <v>46100</v>
      </c>
    </row>
    <row r="587" spans="1:13" x14ac:dyDescent="0.4">
      <c r="A587" s="2" t="s">
        <v>627</v>
      </c>
      <c r="B587" s="2">
        <f>VALUE(REPLACE(CustomerTable[[#This Row],[Ticket]],1,3,""))</f>
        <v>848</v>
      </c>
      <c r="C587" s="2" t="s">
        <v>1023</v>
      </c>
      <c r="D587" s="2" t="s">
        <v>2597</v>
      </c>
      <c r="E587" s="2" t="s">
        <v>405</v>
      </c>
      <c r="F587" s="2" t="s">
        <v>398</v>
      </c>
      <c r="G587" s="2" t="str">
        <f>IF(CustomerTable[[#This Row],[Status]]="RESOLVED","Done",IF(CustomerTable[[#This Row],[Status]]="CLOSED","DONE",IF(CustomerTable[[#This Row],[Status]]="DEFERRED","Done","Pending")))</f>
        <v>Done</v>
      </c>
      <c r="H587" s="2" t="s">
        <v>11</v>
      </c>
      <c r="I587" s="2" t="s">
        <v>394</v>
      </c>
      <c r="J587" s="2" t="s">
        <v>1616</v>
      </c>
      <c r="K587" s="16">
        <v>46087</v>
      </c>
      <c r="M587" s="16">
        <v>46100</v>
      </c>
    </row>
    <row r="588" spans="1:13" x14ac:dyDescent="0.4">
      <c r="A588" s="2" t="s">
        <v>628</v>
      </c>
      <c r="B588" s="2">
        <f>VALUE(REPLACE(CustomerTable[[#This Row],[Ticket]],1,3,""))</f>
        <v>849</v>
      </c>
      <c r="C588" s="2" t="s">
        <v>1023</v>
      </c>
      <c r="D588" s="2" t="s">
        <v>2598</v>
      </c>
      <c r="E588" s="2" t="s">
        <v>405</v>
      </c>
      <c r="F588" s="2" t="s">
        <v>398</v>
      </c>
      <c r="G588" s="2" t="str">
        <f>IF(CustomerTable[[#This Row],[Status]]="RESOLVED","Done",IF(CustomerTable[[#This Row],[Status]]="CLOSED","DONE",IF(CustomerTable[[#This Row],[Status]]="DEFERRED","Done","Pending")))</f>
        <v>Done</v>
      </c>
      <c r="H588" s="2" t="s">
        <v>1028</v>
      </c>
      <c r="I588" s="2" t="s">
        <v>392</v>
      </c>
      <c r="J588" s="2" t="s">
        <v>1617</v>
      </c>
      <c r="K588" s="16">
        <v>46090</v>
      </c>
      <c r="M588" s="16">
        <v>46105</v>
      </c>
    </row>
    <row r="589" spans="1:13" x14ac:dyDescent="0.4">
      <c r="A589" s="2" t="s">
        <v>629</v>
      </c>
      <c r="B589" s="2">
        <f>VALUE(REPLACE(CustomerTable[[#This Row],[Ticket]],1,3,""))</f>
        <v>850</v>
      </c>
      <c r="C589" s="2" t="s">
        <v>1023</v>
      </c>
      <c r="D589" s="2" t="s">
        <v>2599</v>
      </c>
      <c r="E589" s="2" t="s">
        <v>405</v>
      </c>
      <c r="F589" s="2" t="s">
        <v>398</v>
      </c>
      <c r="G589" s="2" t="str">
        <f>IF(CustomerTable[[#This Row],[Status]]="RESOLVED","Done",IF(CustomerTable[[#This Row],[Status]]="CLOSED","DONE",IF(CustomerTable[[#This Row],[Status]]="DEFERRED","Done","Pending")))</f>
        <v>Done</v>
      </c>
      <c r="H589" s="2" t="s">
        <v>11</v>
      </c>
      <c r="I589" s="2" t="s">
        <v>394</v>
      </c>
      <c r="J589" s="2" t="s">
        <v>1618</v>
      </c>
      <c r="K589" s="16">
        <v>46090</v>
      </c>
      <c r="M589" s="16">
        <v>46100</v>
      </c>
    </row>
    <row r="590" spans="1:13" x14ac:dyDescent="0.4">
      <c r="A590" s="2" t="s">
        <v>630</v>
      </c>
      <c r="B590" s="2">
        <f>VALUE(REPLACE(CustomerTable[[#This Row],[Ticket]],1,3,""))</f>
        <v>851</v>
      </c>
      <c r="C590" s="2" t="s">
        <v>1023</v>
      </c>
      <c r="D590" s="2" t="s">
        <v>2600</v>
      </c>
      <c r="E590" s="2" t="s">
        <v>405</v>
      </c>
      <c r="F590" s="2" t="s">
        <v>398</v>
      </c>
      <c r="G590" s="2" t="str">
        <f>IF(CustomerTable[[#This Row],[Status]]="RESOLVED","Done",IF(CustomerTable[[#This Row],[Status]]="CLOSED","DONE",IF(CustomerTable[[#This Row],[Status]]="DEFERRED","Done","Pending")))</f>
        <v>Done</v>
      </c>
      <c r="H590" s="2" t="s">
        <v>11</v>
      </c>
      <c r="I590" s="2" t="s">
        <v>394</v>
      </c>
      <c r="J590" s="2" t="s">
        <v>1619</v>
      </c>
      <c r="K590" s="16">
        <v>46090</v>
      </c>
      <c r="M590" s="16">
        <v>46100</v>
      </c>
    </row>
    <row r="591" spans="1:13" x14ac:dyDescent="0.4">
      <c r="A591" s="2" t="s">
        <v>631</v>
      </c>
      <c r="B591" s="2">
        <f>VALUE(REPLACE(CustomerTable[[#This Row],[Ticket]],1,3,""))</f>
        <v>852</v>
      </c>
      <c r="C591" s="2" t="s">
        <v>1023</v>
      </c>
      <c r="D591" s="2" t="s">
        <v>2601</v>
      </c>
      <c r="E591" s="2" t="s">
        <v>405</v>
      </c>
      <c r="F591" s="2" t="s">
        <v>398</v>
      </c>
      <c r="G591" s="2" t="str">
        <f>IF(CustomerTable[[#This Row],[Status]]="RESOLVED","Done",IF(CustomerTable[[#This Row],[Status]]="CLOSED","DONE",IF(CustomerTable[[#This Row],[Status]]="DEFERRED","Done","Pending")))</f>
        <v>Done</v>
      </c>
      <c r="H591" s="2" t="s">
        <v>1028</v>
      </c>
      <c r="I591" s="2" t="s">
        <v>390</v>
      </c>
      <c r="J591" s="2" t="s">
        <v>1620</v>
      </c>
      <c r="K591" s="16">
        <v>46090</v>
      </c>
      <c r="M591" s="16">
        <v>46134</v>
      </c>
    </row>
    <row r="592" spans="1:13" x14ac:dyDescent="0.4">
      <c r="A592" s="2" t="s">
        <v>632</v>
      </c>
      <c r="B592" s="2">
        <f>VALUE(REPLACE(CustomerTable[[#This Row],[Ticket]],1,3,""))</f>
        <v>853</v>
      </c>
      <c r="C592" s="2" t="s">
        <v>1023</v>
      </c>
      <c r="D592" s="2" t="s">
        <v>2602</v>
      </c>
      <c r="E592" s="2" t="s">
        <v>405</v>
      </c>
      <c r="F592" s="2" t="s">
        <v>398</v>
      </c>
      <c r="G592" s="2" t="str">
        <f>IF(CustomerTable[[#This Row],[Status]]="RESOLVED","Done",IF(CustomerTable[[#This Row],[Status]]="CLOSED","DONE",IF(CustomerTable[[#This Row],[Status]]="DEFERRED","Done","Pending")))</f>
        <v>Done</v>
      </c>
      <c r="H592" s="2" t="s">
        <v>11</v>
      </c>
      <c r="I592" s="2" t="s">
        <v>394</v>
      </c>
      <c r="J592" s="2" t="s">
        <v>1621</v>
      </c>
      <c r="K592" s="16">
        <v>46090</v>
      </c>
      <c r="M592" s="16">
        <v>46100</v>
      </c>
    </row>
    <row r="593" spans="1:13" x14ac:dyDescent="0.4">
      <c r="A593" s="2" t="s">
        <v>633</v>
      </c>
      <c r="B593" s="2">
        <f>VALUE(REPLACE(CustomerTable[[#This Row],[Ticket]],1,3,""))</f>
        <v>854</v>
      </c>
      <c r="C593" s="2" t="s">
        <v>1023</v>
      </c>
      <c r="D593" s="2" t="s">
        <v>2603</v>
      </c>
      <c r="E593" s="2" t="s">
        <v>399</v>
      </c>
      <c r="F593" s="2" t="s">
        <v>398</v>
      </c>
      <c r="G593" s="2" t="str">
        <f>IF(CustomerTable[[#This Row],[Status]]="RESOLVED","Done",IF(CustomerTable[[#This Row],[Status]]="CLOSED","DONE",IF(CustomerTable[[#This Row],[Status]]="DEFERRED","Done","Pending")))</f>
        <v>Done</v>
      </c>
      <c r="H593" s="2" t="s">
        <v>1028</v>
      </c>
      <c r="I593" s="2" t="s">
        <v>391</v>
      </c>
      <c r="J593" s="2" t="s">
        <v>1622</v>
      </c>
      <c r="K593" s="16">
        <v>46090</v>
      </c>
      <c r="M593" s="16">
        <v>46132</v>
      </c>
    </row>
    <row r="594" spans="1:13" x14ac:dyDescent="0.4">
      <c r="A594" s="2" t="s">
        <v>634</v>
      </c>
      <c r="B594" s="2">
        <f>VALUE(REPLACE(CustomerTable[[#This Row],[Ticket]],1,3,""))</f>
        <v>855</v>
      </c>
      <c r="C594" s="2" t="s">
        <v>1023</v>
      </c>
      <c r="D594" s="2" t="s">
        <v>2604</v>
      </c>
      <c r="E594" s="2" t="s">
        <v>405</v>
      </c>
      <c r="F594" s="2" t="s">
        <v>398</v>
      </c>
      <c r="G594" s="2" t="str">
        <f>IF(CustomerTable[[#This Row],[Status]]="RESOLVED","Done",IF(CustomerTable[[#This Row],[Status]]="CLOSED","DONE",IF(CustomerTable[[#This Row],[Status]]="DEFERRED","Done","Pending")))</f>
        <v>Done</v>
      </c>
      <c r="H594" s="2" t="s">
        <v>11</v>
      </c>
      <c r="I594" s="2" t="s">
        <v>394</v>
      </c>
      <c r="J594" s="2" t="s">
        <v>1623</v>
      </c>
      <c r="K594" s="16">
        <v>46090</v>
      </c>
      <c r="M594" s="16">
        <v>46100</v>
      </c>
    </row>
    <row r="595" spans="1:13" x14ac:dyDescent="0.4">
      <c r="A595" s="2" t="s">
        <v>635</v>
      </c>
      <c r="B595" s="2">
        <f>VALUE(REPLACE(CustomerTable[[#This Row],[Ticket]],1,3,""))</f>
        <v>856</v>
      </c>
      <c r="C595" s="2" t="s">
        <v>1023</v>
      </c>
      <c r="D595" s="2" t="s">
        <v>2605</v>
      </c>
      <c r="E595" s="2" t="s">
        <v>405</v>
      </c>
      <c r="F595" s="2" t="s">
        <v>398</v>
      </c>
      <c r="G595" s="2" t="str">
        <f>IF(CustomerTable[[#This Row],[Status]]="RESOLVED","Done",IF(CustomerTable[[#This Row],[Status]]="CLOSED","DONE",IF(CustomerTable[[#This Row],[Status]]="DEFERRED","Done","Pending")))</f>
        <v>Done</v>
      </c>
      <c r="H595" s="2" t="s">
        <v>11</v>
      </c>
      <c r="I595" s="2" t="s">
        <v>394</v>
      </c>
      <c r="J595" s="2" t="s">
        <v>1624</v>
      </c>
      <c r="K595" s="16">
        <v>46090</v>
      </c>
      <c r="M595" s="16">
        <v>46100</v>
      </c>
    </row>
    <row r="596" spans="1:13" x14ac:dyDescent="0.4">
      <c r="A596" s="2" t="s">
        <v>636</v>
      </c>
      <c r="B596" s="2">
        <f>VALUE(REPLACE(CustomerTable[[#This Row],[Ticket]],1,3,""))</f>
        <v>857</v>
      </c>
      <c r="C596" s="2" t="s">
        <v>1023</v>
      </c>
      <c r="D596" s="2" t="s">
        <v>2606</v>
      </c>
      <c r="E596" s="2" t="s">
        <v>405</v>
      </c>
      <c r="F596" s="2" t="s">
        <v>398</v>
      </c>
      <c r="G596" s="2" t="str">
        <f>IF(CustomerTable[[#This Row],[Status]]="RESOLVED","Done",IF(CustomerTable[[#This Row],[Status]]="CLOSED","DONE",IF(CustomerTable[[#This Row],[Status]]="DEFERRED","Done","Pending")))</f>
        <v>Done</v>
      </c>
      <c r="H596" s="2" t="s">
        <v>11</v>
      </c>
      <c r="I596" s="2" t="s">
        <v>390</v>
      </c>
      <c r="J596" s="2" t="s">
        <v>1625</v>
      </c>
      <c r="K596" s="16">
        <v>46090</v>
      </c>
      <c r="M596" s="16">
        <v>46105</v>
      </c>
    </row>
    <row r="597" spans="1:13" x14ac:dyDescent="0.4">
      <c r="A597" s="2" t="s">
        <v>637</v>
      </c>
      <c r="B597" s="2">
        <f>VALUE(REPLACE(CustomerTable[[#This Row],[Ticket]],1,3,""))</f>
        <v>858</v>
      </c>
      <c r="C597" s="2" t="s">
        <v>1023</v>
      </c>
      <c r="D597" s="2" t="s">
        <v>2607</v>
      </c>
      <c r="E597" s="2" t="s">
        <v>405</v>
      </c>
      <c r="F597" s="2" t="s">
        <v>398</v>
      </c>
      <c r="G597" s="2" t="str">
        <f>IF(CustomerTable[[#This Row],[Status]]="RESOLVED","Done",IF(CustomerTable[[#This Row],[Status]]="CLOSED","DONE",IF(CustomerTable[[#This Row],[Status]]="DEFERRED","Done","Pending")))</f>
        <v>Done</v>
      </c>
      <c r="H597" s="2" t="s">
        <v>11</v>
      </c>
      <c r="I597" s="2" t="s">
        <v>388</v>
      </c>
      <c r="J597" s="2" t="s">
        <v>1626</v>
      </c>
      <c r="K597" s="16">
        <v>46090</v>
      </c>
      <c r="M597" s="16">
        <v>46090</v>
      </c>
    </row>
    <row r="598" spans="1:13" x14ac:dyDescent="0.4">
      <c r="A598" s="2" t="s">
        <v>638</v>
      </c>
      <c r="B598" s="2">
        <f>VALUE(REPLACE(CustomerTable[[#This Row],[Ticket]],1,3,""))</f>
        <v>859</v>
      </c>
      <c r="C598" s="2" t="s">
        <v>1023</v>
      </c>
      <c r="D598" s="2" t="s">
        <v>2608</v>
      </c>
      <c r="E598" s="2" t="s">
        <v>405</v>
      </c>
      <c r="F598" s="2" t="s">
        <v>413</v>
      </c>
      <c r="G598" s="2" t="str">
        <f>IF(CustomerTable[[#This Row],[Status]]="RESOLVED","Done",IF(CustomerTable[[#This Row],[Status]]="CLOSED","DONE",IF(CustomerTable[[#This Row],[Status]]="DEFERRED","Done","Pending")))</f>
        <v>DONE</v>
      </c>
      <c r="H598" s="2" t="s">
        <v>1028</v>
      </c>
      <c r="I598" s="2" t="s">
        <v>389</v>
      </c>
      <c r="J598" s="2" t="s">
        <v>1627</v>
      </c>
      <c r="K598" s="16">
        <v>46090</v>
      </c>
      <c r="M598" s="16"/>
    </row>
    <row r="599" spans="1:13" x14ac:dyDescent="0.4">
      <c r="A599" s="2" t="s">
        <v>639</v>
      </c>
      <c r="B599" s="2">
        <f>VALUE(REPLACE(CustomerTable[[#This Row],[Ticket]],1,3,""))</f>
        <v>860</v>
      </c>
      <c r="C599" s="2" t="s">
        <v>1023</v>
      </c>
      <c r="D599" s="2" t="s">
        <v>2609</v>
      </c>
      <c r="E599" s="2" t="s">
        <v>405</v>
      </c>
      <c r="F599" s="2" t="s">
        <v>398</v>
      </c>
      <c r="G599" s="2" t="str">
        <f>IF(CustomerTable[[#This Row],[Status]]="RESOLVED","Done",IF(CustomerTable[[#This Row],[Status]]="CLOSED","DONE",IF(CustomerTable[[#This Row],[Status]]="DEFERRED","Done","Pending")))</f>
        <v>Done</v>
      </c>
      <c r="H599" s="2" t="s">
        <v>11</v>
      </c>
      <c r="I599" s="2" t="s">
        <v>394</v>
      </c>
      <c r="J599" s="2" t="s">
        <v>1628</v>
      </c>
      <c r="K599" s="16">
        <v>46090</v>
      </c>
      <c r="M599" s="16">
        <v>46100</v>
      </c>
    </row>
    <row r="600" spans="1:13" x14ac:dyDescent="0.4">
      <c r="A600" s="2" t="s">
        <v>640</v>
      </c>
      <c r="B600" s="2">
        <f>VALUE(REPLACE(CustomerTable[[#This Row],[Ticket]],1,3,""))</f>
        <v>861</v>
      </c>
      <c r="C600" s="2" t="s">
        <v>1023</v>
      </c>
      <c r="D600" s="2" t="s">
        <v>2610</v>
      </c>
      <c r="E600" s="2" t="s">
        <v>405</v>
      </c>
      <c r="F600" s="2" t="s">
        <v>398</v>
      </c>
      <c r="G600" s="2" t="str">
        <f>IF(CustomerTable[[#This Row],[Status]]="RESOLVED","Done",IF(CustomerTable[[#This Row],[Status]]="CLOSED","DONE",IF(CustomerTable[[#This Row],[Status]]="DEFERRED","Done","Pending")))</f>
        <v>Done</v>
      </c>
      <c r="H600" s="2" t="s">
        <v>1028</v>
      </c>
      <c r="I600" s="2" t="s">
        <v>391</v>
      </c>
      <c r="J600" s="2" t="s">
        <v>1629</v>
      </c>
      <c r="K600" s="16">
        <v>46091</v>
      </c>
      <c r="M600" s="16">
        <v>46105</v>
      </c>
    </row>
    <row r="601" spans="1:13" x14ac:dyDescent="0.4">
      <c r="A601" s="2" t="s">
        <v>641</v>
      </c>
      <c r="B601" s="2">
        <f>VALUE(REPLACE(CustomerTable[[#This Row],[Ticket]],1,3,""))</f>
        <v>862</v>
      </c>
      <c r="C601" s="2" t="s">
        <v>1023</v>
      </c>
      <c r="D601" s="2" t="s">
        <v>2611</v>
      </c>
      <c r="E601" s="2" t="s">
        <v>405</v>
      </c>
      <c r="F601" s="2" t="s">
        <v>398</v>
      </c>
      <c r="G601" s="2" t="str">
        <f>IF(CustomerTable[[#This Row],[Status]]="RESOLVED","Done",IF(CustomerTable[[#This Row],[Status]]="CLOSED","DONE",IF(CustomerTable[[#This Row],[Status]]="DEFERRED","Done","Pending")))</f>
        <v>Done</v>
      </c>
      <c r="H601" s="2" t="s">
        <v>1028</v>
      </c>
      <c r="I601" s="2" t="s">
        <v>391</v>
      </c>
      <c r="J601" s="2" t="s">
        <v>1630</v>
      </c>
      <c r="K601" s="16">
        <v>46091</v>
      </c>
      <c r="M601" s="16">
        <v>46105</v>
      </c>
    </row>
    <row r="602" spans="1:13" x14ac:dyDescent="0.4">
      <c r="A602" s="2" t="s">
        <v>642</v>
      </c>
      <c r="B602" s="2">
        <f>VALUE(REPLACE(CustomerTable[[#This Row],[Ticket]],1,3,""))</f>
        <v>863</v>
      </c>
      <c r="C602" s="2" t="s">
        <v>1023</v>
      </c>
      <c r="D602" s="2" t="s">
        <v>2612</v>
      </c>
      <c r="E602" s="2" t="s">
        <v>405</v>
      </c>
      <c r="F602" s="2" t="s">
        <v>398</v>
      </c>
      <c r="G602" s="2" t="str">
        <f>IF(CustomerTable[[#This Row],[Status]]="RESOLVED","Done",IF(CustomerTable[[#This Row],[Status]]="CLOSED","DONE",IF(CustomerTable[[#This Row],[Status]]="DEFERRED","Done","Pending")))</f>
        <v>Done</v>
      </c>
      <c r="H602" s="2" t="s">
        <v>11</v>
      </c>
      <c r="I602" s="2" t="s">
        <v>392</v>
      </c>
      <c r="J602" s="2" t="s">
        <v>1631</v>
      </c>
      <c r="K602" s="16">
        <v>46091</v>
      </c>
      <c r="M602" s="16">
        <v>46092</v>
      </c>
    </row>
    <row r="603" spans="1:13" x14ac:dyDescent="0.4">
      <c r="A603" s="2" t="s">
        <v>643</v>
      </c>
      <c r="B603" s="2">
        <f>VALUE(REPLACE(CustomerTable[[#This Row],[Ticket]],1,3,""))</f>
        <v>864</v>
      </c>
      <c r="C603" s="2" t="s">
        <v>1024</v>
      </c>
      <c r="D603" s="2" t="s">
        <v>2613</v>
      </c>
      <c r="E603" s="2" t="s">
        <v>405</v>
      </c>
      <c r="F603" s="2" t="s">
        <v>398</v>
      </c>
      <c r="G603" s="2" t="str">
        <f>IF(CustomerTable[[#This Row],[Status]]="RESOLVED","Done",IF(CustomerTable[[#This Row],[Status]]="CLOSED","DONE",IF(CustomerTable[[#This Row],[Status]]="DEFERRED","Done","Pending")))</f>
        <v>Done</v>
      </c>
      <c r="H603" s="2" t="s">
        <v>1029</v>
      </c>
      <c r="I603" s="2" t="s">
        <v>395</v>
      </c>
      <c r="J603" s="2" t="s">
        <v>1632</v>
      </c>
      <c r="K603" s="16">
        <v>46092</v>
      </c>
      <c r="M603" s="16">
        <v>46118</v>
      </c>
    </row>
    <row r="604" spans="1:13" x14ac:dyDescent="0.4">
      <c r="A604" s="2" t="s">
        <v>644</v>
      </c>
      <c r="B604" s="2">
        <f>VALUE(REPLACE(CustomerTable[[#This Row],[Ticket]],1,3,""))</f>
        <v>865</v>
      </c>
      <c r="C604" s="2" t="s">
        <v>1024</v>
      </c>
      <c r="D604" s="2" t="s">
        <v>2614</v>
      </c>
      <c r="E604" s="2" t="s">
        <v>405</v>
      </c>
      <c r="F604" s="2" t="s">
        <v>398</v>
      </c>
      <c r="G604" s="2" t="str">
        <f>IF(CustomerTable[[#This Row],[Status]]="RESOLVED","Done",IF(CustomerTable[[#This Row],[Status]]="CLOSED","DONE",IF(CustomerTable[[#This Row],[Status]]="DEFERRED","Done","Pending")))</f>
        <v>Done</v>
      </c>
      <c r="H604" s="2" t="s">
        <v>1029</v>
      </c>
      <c r="I604" s="2" t="s">
        <v>390</v>
      </c>
      <c r="J604" s="2" t="s">
        <v>1633</v>
      </c>
      <c r="K604" s="16">
        <v>46092</v>
      </c>
      <c r="M604" s="16">
        <v>46100</v>
      </c>
    </row>
    <row r="605" spans="1:13" x14ac:dyDescent="0.4">
      <c r="A605" s="2" t="s">
        <v>645</v>
      </c>
      <c r="B605" s="2">
        <f>VALUE(REPLACE(CustomerTable[[#This Row],[Ticket]],1,3,""))</f>
        <v>866</v>
      </c>
      <c r="C605" s="2" t="s">
        <v>1024</v>
      </c>
      <c r="D605" s="2" t="s">
        <v>2615</v>
      </c>
      <c r="E605" s="2" t="s">
        <v>405</v>
      </c>
      <c r="F605" s="2" t="s">
        <v>398</v>
      </c>
      <c r="G605" s="2" t="str">
        <f>IF(CustomerTable[[#This Row],[Status]]="RESOLVED","Done",IF(CustomerTable[[#This Row],[Status]]="CLOSED","DONE",IF(CustomerTable[[#This Row],[Status]]="DEFERRED","Done","Pending")))</f>
        <v>Done</v>
      </c>
      <c r="H605" s="2" t="s">
        <v>1029</v>
      </c>
      <c r="I605" s="2" t="s">
        <v>395</v>
      </c>
      <c r="J605" s="2" t="s">
        <v>1634</v>
      </c>
      <c r="K605" s="16">
        <v>46092</v>
      </c>
      <c r="M605" s="16">
        <v>46097</v>
      </c>
    </row>
    <row r="606" spans="1:13" x14ac:dyDescent="0.4">
      <c r="A606" s="2" t="s">
        <v>646</v>
      </c>
      <c r="B606" s="2">
        <f>VALUE(REPLACE(CustomerTable[[#This Row],[Ticket]],1,3,""))</f>
        <v>867</v>
      </c>
      <c r="C606" s="2" t="s">
        <v>1024</v>
      </c>
      <c r="D606" s="2" t="s">
        <v>2616</v>
      </c>
      <c r="E606" s="2" t="s">
        <v>405</v>
      </c>
      <c r="F606" s="2" t="s">
        <v>398</v>
      </c>
      <c r="G606" s="2" t="str">
        <f>IF(CustomerTable[[#This Row],[Status]]="RESOLVED","Done",IF(CustomerTable[[#This Row],[Status]]="CLOSED","DONE",IF(CustomerTable[[#This Row],[Status]]="DEFERRED","Done","Pending")))</f>
        <v>Done</v>
      </c>
      <c r="H606" s="2" t="s">
        <v>1029</v>
      </c>
      <c r="I606" s="2" t="s">
        <v>393</v>
      </c>
      <c r="J606" s="2" t="s">
        <v>1635</v>
      </c>
      <c r="K606" s="16">
        <v>46092</v>
      </c>
      <c r="M606" s="16">
        <v>46097</v>
      </c>
    </row>
    <row r="607" spans="1:13" x14ac:dyDescent="0.4">
      <c r="A607" s="2" t="s">
        <v>647</v>
      </c>
      <c r="B607" s="2">
        <f>VALUE(REPLACE(CustomerTable[[#This Row],[Ticket]],1,3,""))</f>
        <v>868</v>
      </c>
      <c r="C607" s="2" t="s">
        <v>1024</v>
      </c>
      <c r="D607" s="2" t="s">
        <v>2617</v>
      </c>
      <c r="E607" s="2" t="s">
        <v>405</v>
      </c>
      <c r="F607" s="2" t="s">
        <v>398</v>
      </c>
      <c r="G607" s="2" t="str">
        <f>IF(CustomerTable[[#This Row],[Status]]="RESOLVED","Done",IF(CustomerTable[[#This Row],[Status]]="CLOSED","DONE",IF(CustomerTable[[#This Row],[Status]]="DEFERRED","Done","Pending")))</f>
        <v>Done</v>
      </c>
      <c r="H607" s="2" t="s">
        <v>1029</v>
      </c>
      <c r="I607" s="2" t="s">
        <v>393</v>
      </c>
      <c r="J607" s="2" t="s">
        <v>1636</v>
      </c>
      <c r="K607" s="16">
        <v>46092</v>
      </c>
      <c r="M607" s="16">
        <v>46097</v>
      </c>
    </row>
    <row r="608" spans="1:13" x14ac:dyDescent="0.4">
      <c r="A608" s="2" t="s">
        <v>648</v>
      </c>
      <c r="B608" s="2">
        <f>VALUE(REPLACE(CustomerTable[[#This Row],[Ticket]],1,3,""))</f>
        <v>869</v>
      </c>
      <c r="C608" s="2" t="s">
        <v>1023</v>
      </c>
      <c r="D608" s="2" t="s">
        <v>2618</v>
      </c>
      <c r="E608" s="2" t="s">
        <v>399</v>
      </c>
      <c r="F608" s="2" t="s">
        <v>398</v>
      </c>
      <c r="G608" s="2" t="str">
        <f>IF(CustomerTable[[#This Row],[Status]]="RESOLVED","Done",IF(CustomerTable[[#This Row],[Status]]="CLOSED","DONE",IF(CustomerTable[[#This Row],[Status]]="DEFERRED","Done","Pending")))</f>
        <v>Done</v>
      </c>
      <c r="H608" s="2" t="s">
        <v>1028</v>
      </c>
      <c r="I608" s="2" t="s">
        <v>390</v>
      </c>
      <c r="J608" s="2" t="s">
        <v>1637</v>
      </c>
      <c r="K608" s="16">
        <v>46093</v>
      </c>
      <c r="M608" s="16">
        <v>46100</v>
      </c>
    </row>
    <row r="609" spans="1:13" x14ac:dyDescent="0.4">
      <c r="A609" s="2" t="s">
        <v>649</v>
      </c>
      <c r="B609" s="2">
        <f>VALUE(REPLACE(CustomerTable[[#This Row],[Ticket]],1,3,""))</f>
        <v>870</v>
      </c>
      <c r="C609" s="2" t="s">
        <v>1023</v>
      </c>
      <c r="D609" s="2" t="s">
        <v>2619</v>
      </c>
      <c r="E609" s="2" t="s">
        <v>399</v>
      </c>
      <c r="F609" s="2" t="s">
        <v>398</v>
      </c>
      <c r="G609" s="2" t="str">
        <f>IF(CustomerTable[[#This Row],[Status]]="RESOLVED","Done",IF(CustomerTable[[#This Row],[Status]]="CLOSED","DONE",IF(CustomerTable[[#This Row],[Status]]="DEFERRED","Done","Pending")))</f>
        <v>Done</v>
      </c>
      <c r="H609" s="2" t="s">
        <v>1028</v>
      </c>
      <c r="I609" s="2" t="s">
        <v>389</v>
      </c>
      <c r="J609" s="2" t="s">
        <v>1638</v>
      </c>
      <c r="K609" s="16">
        <v>46093</v>
      </c>
      <c r="M609" s="16">
        <v>46125</v>
      </c>
    </row>
    <row r="610" spans="1:13" x14ac:dyDescent="0.4">
      <c r="A610" s="2" t="s">
        <v>650</v>
      </c>
      <c r="B610" s="2">
        <f>VALUE(REPLACE(CustomerTable[[#This Row],[Ticket]],1,3,""))</f>
        <v>871</v>
      </c>
      <c r="C610" s="2" t="s">
        <v>1023</v>
      </c>
      <c r="D610" s="2" t="s">
        <v>2620</v>
      </c>
      <c r="E610" s="2" t="s">
        <v>405</v>
      </c>
      <c r="F610" s="2" t="s">
        <v>398</v>
      </c>
      <c r="G610" s="2" t="str">
        <f>IF(CustomerTable[[#This Row],[Status]]="RESOLVED","Done",IF(CustomerTable[[#This Row],[Status]]="CLOSED","DONE",IF(CustomerTable[[#This Row],[Status]]="DEFERRED","Done","Pending")))</f>
        <v>Done</v>
      </c>
      <c r="H610" s="2" t="s">
        <v>1028</v>
      </c>
      <c r="I610" s="2" t="s">
        <v>392</v>
      </c>
      <c r="J610" s="2" t="s">
        <v>1639</v>
      </c>
      <c r="K610" s="16">
        <v>46093</v>
      </c>
      <c r="M610" s="16">
        <v>46105</v>
      </c>
    </row>
    <row r="611" spans="1:13" x14ac:dyDescent="0.4">
      <c r="A611" s="2" t="s">
        <v>651</v>
      </c>
      <c r="B611" s="2">
        <f>VALUE(REPLACE(CustomerTable[[#This Row],[Ticket]],1,3,""))</f>
        <v>872</v>
      </c>
      <c r="C611" s="2" t="s">
        <v>1023</v>
      </c>
      <c r="D611" s="2" t="s">
        <v>2621</v>
      </c>
      <c r="E611" s="2" t="s">
        <v>405</v>
      </c>
      <c r="F611" s="2" t="s">
        <v>398</v>
      </c>
      <c r="G611" s="2" t="str">
        <f>IF(CustomerTable[[#This Row],[Status]]="RESOLVED","Done",IF(CustomerTable[[#This Row],[Status]]="CLOSED","DONE",IF(CustomerTable[[#This Row],[Status]]="DEFERRED","Done","Pending")))</f>
        <v>Done</v>
      </c>
      <c r="H611" s="2" t="s">
        <v>11</v>
      </c>
      <c r="I611" s="2" t="s">
        <v>392</v>
      </c>
      <c r="J611" s="2" t="s">
        <v>1640</v>
      </c>
      <c r="K611" s="16">
        <v>46093</v>
      </c>
      <c r="M611" s="16">
        <v>46093</v>
      </c>
    </row>
    <row r="612" spans="1:13" x14ac:dyDescent="0.4">
      <c r="A612" s="2" t="s">
        <v>652</v>
      </c>
      <c r="B612" s="2">
        <f>VALUE(REPLACE(CustomerTable[[#This Row],[Ticket]],1,3,""))</f>
        <v>873</v>
      </c>
      <c r="C612" s="2" t="s">
        <v>1023</v>
      </c>
      <c r="D612" s="2" t="s">
        <v>2622</v>
      </c>
      <c r="E612" s="2" t="s">
        <v>405</v>
      </c>
      <c r="F612" s="2" t="s">
        <v>398</v>
      </c>
      <c r="G612" s="2" t="str">
        <f>IF(CustomerTable[[#This Row],[Status]]="RESOLVED","Done",IF(CustomerTable[[#This Row],[Status]]="CLOSED","DONE",IF(CustomerTable[[#This Row],[Status]]="DEFERRED","Done","Pending")))</f>
        <v>Done</v>
      </c>
      <c r="H612" s="2" t="s">
        <v>11</v>
      </c>
      <c r="I612" s="2" t="s">
        <v>388</v>
      </c>
      <c r="J612" s="2" t="s">
        <v>1641</v>
      </c>
      <c r="K612" s="16">
        <v>46093</v>
      </c>
      <c r="M612" s="16">
        <v>46093</v>
      </c>
    </row>
    <row r="613" spans="1:13" x14ac:dyDescent="0.4">
      <c r="A613" s="2" t="s">
        <v>654</v>
      </c>
      <c r="B613" s="2">
        <f>VALUE(REPLACE(CustomerTable[[#This Row],[Ticket]],1,3,""))</f>
        <v>874</v>
      </c>
      <c r="C613" s="2" t="s">
        <v>1023</v>
      </c>
      <c r="D613" s="2" t="s">
        <v>2623</v>
      </c>
      <c r="E613" s="2" t="s">
        <v>405</v>
      </c>
      <c r="F613" s="2" t="s">
        <v>398</v>
      </c>
      <c r="G613" s="2" t="str">
        <f>IF(CustomerTable[[#This Row],[Status]]="RESOLVED","Done",IF(CustomerTable[[#This Row],[Status]]="CLOSED","DONE",IF(CustomerTable[[#This Row],[Status]]="DEFERRED","Done","Pending")))</f>
        <v>Done</v>
      </c>
      <c r="H613" s="2" t="s">
        <v>11</v>
      </c>
      <c r="I613" s="2" t="s">
        <v>392</v>
      </c>
      <c r="J613" s="2" t="s">
        <v>1642</v>
      </c>
      <c r="K613" s="16">
        <v>46094</v>
      </c>
      <c r="M613" s="16">
        <v>46139</v>
      </c>
    </row>
    <row r="614" spans="1:13" x14ac:dyDescent="0.4">
      <c r="A614" s="2" t="s">
        <v>656</v>
      </c>
      <c r="B614" s="2">
        <f>VALUE(REPLACE(CustomerTable[[#This Row],[Ticket]],1,3,""))</f>
        <v>875</v>
      </c>
      <c r="C614" s="2" t="s">
        <v>1023</v>
      </c>
      <c r="D614" s="2" t="s">
        <v>2624</v>
      </c>
      <c r="E614" s="2" t="s">
        <v>405</v>
      </c>
      <c r="F614" s="2" t="s">
        <v>413</v>
      </c>
      <c r="G614" s="2" t="str">
        <f>IF(CustomerTable[[#This Row],[Status]]="RESOLVED","Done",IF(CustomerTable[[#This Row],[Status]]="CLOSED","DONE",IF(CustomerTable[[#This Row],[Status]]="DEFERRED","Done","Pending")))</f>
        <v>DONE</v>
      </c>
      <c r="H614" s="2" t="s">
        <v>1028</v>
      </c>
      <c r="I614" s="2" t="s">
        <v>389</v>
      </c>
      <c r="J614" s="2" t="s">
        <v>1643</v>
      </c>
      <c r="K614" s="16">
        <v>46098</v>
      </c>
      <c r="M614" s="16"/>
    </row>
    <row r="615" spans="1:13" x14ac:dyDescent="0.4">
      <c r="A615" s="2" t="s">
        <v>657</v>
      </c>
      <c r="B615" s="2">
        <f>VALUE(REPLACE(CustomerTable[[#This Row],[Ticket]],1,3,""))</f>
        <v>876</v>
      </c>
      <c r="C615" s="2" t="s">
        <v>1023</v>
      </c>
      <c r="D615" s="2" t="s">
        <v>2625</v>
      </c>
      <c r="E615" s="2" t="s">
        <v>405</v>
      </c>
      <c r="F615" s="2" t="s">
        <v>398</v>
      </c>
      <c r="G615" s="2" t="str">
        <f>IF(CustomerTable[[#This Row],[Status]]="RESOLVED","Done",IF(CustomerTable[[#This Row],[Status]]="CLOSED","DONE",IF(CustomerTable[[#This Row],[Status]]="DEFERRED","Done","Pending")))</f>
        <v>Done</v>
      </c>
      <c r="H615" s="2" t="s">
        <v>1028</v>
      </c>
      <c r="I615" s="2" t="s">
        <v>391</v>
      </c>
      <c r="J615" s="2" t="s">
        <v>1644</v>
      </c>
      <c r="K615" s="16">
        <v>46098</v>
      </c>
      <c r="M615" s="16">
        <v>46105</v>
      </c>
    </row>
    <row r="616" spans="1:13" x14ac:dyDescent="0.4">
      <c r="A616" s="2" t="s">
        <v>658</v>
      </c>
      <c r="B616" s="2">
        <f>VALUE(REPLACE(CustomerTable[[#This Row],[Ticket]],1,3,""))</f>
        <v>877</v>
      </c>
      <c r="C616" s="2" t="s">
        <v>1023</v>
      </c>
      <c r="D616" s="2" t="s">
        <v>2626</v>
      </c>
      <c r="E616" s="2" t="s">
        <v>399</v>
      </c>
      <c r="F616" s="2" t="s">
        <v>398</v>
      </c>
      <c r="G616" s="2" t="str">
        <f>IF(CustomerTable[[#This Row],[Status]]="RESOLVED","Done",IF(CustomerTable[[#This Row],[Status]]="CLOSED","DONE",IF(CustomerTable[[#This Row],[Status]]="DEFERRED","Done","Pending")))</f>
        <v>Done</v>
      </c>
      <c r="H616" s="2" t="s">
        <v>1028</v>
      </c>
      <c r="I616" s="2" t="s">
        <v>391</v>
      </c>
      <c r="J616" s="2" t="s">
        <v>1645</v>
      </c>
      <c r="K616" s="16">
        <v>46098</v>
      </c>
      <c r="M616" s="16"/>
    </row>
    <row r="617" spans="1:13" x14ac:dyDescent="0.4">
      <c r="A617" s="2" t="s">
        <v>659</v>
      </c>
      <c r="B617" s="2">
        <f>VALUE(REPLACE(CustomerTable[[#This Row],[Ticket]],1,3,""))</f>
        <v>878</v>
      </c>
      <c r="C617" s="2" t="s">
        <v>1023</v>
      </c>
      <c r="D617" s="2" t="s">
        <v>2627</v>
      </c>
      <c r="E617" s="2" t="s">
        <v>399</v>
      </c>
      <c r="F617" s="2" t="s">
        <v>398</v>
      </c>
      <c r="G617" s="2" t="str">
        <f>IF(CustomerTable[[#This Row],[Status]]="RESOLVED","Done",IF(CustomerTable[[#This Row],[Status]]="CLOSED","DONE",IF(CustomerTable[[#This Row],[Status]]="DEFERRED","Done","Pending")))</f>
        <v>Done</v>
      </c>
      <c r="H617" s="2" t="s">
        <v>1028</v>
      </c>
      <c r="I617" s="2" t="s">
        <v>395</v>
      </c>
      <c r="J617" s="2" t="s">
        <v>1646</v>
      </c>
      <c r="K617" s="16">
        <v>46098</v>
      </c>
      <c r="M617" s="16">
        <v>46100</v>
      </c>
    </row>
    <row r="618" spans="1:13" x14ac:dyDescent="0.4">
      <c r="A618" s="2" t="s">
        <v>660</v>
      </c>
      <c r="B618" s="2">
        <f>VALUE(REPLACE(CustomerTable[[#This Row],[Ticket]],1,3,""))</f>
        <v>879</v>
      </c>
      <c r="C618" s="2" t="s">
        <v>1023</v>
      </c>
      <c r="D618" s="2" t="s">
        <v>2628</v>
      </c>
      <c r="E618" s="2" t="s">
        <v>405</v>
      </c>
      <c r="F618" s="2" t="s">
        <v>398</v>
      </c>
      <c r="G618" s="2" t="str">
        <f>IF(CustomerTable[[#This Row],[Status]]="RESOLVED","Done",IF(CustomerTable[[#This Row],[Status]]="CLOSED","DONE",IF(CustomerTable[[#This Row],[Status]]="DEFERRED","Done","Pending")))</f>
        <v>Done</v>
      </c>
      <c r="H618" s="2" t="s">
        <v>1028</v>
      </c>
      <c r="I618" s="2" t="s">
        <v>390</v>
      </c>
      <c r="J618" s="2" t="s">
        <v>1647</v>
      </c>
      <c r="K618" s="16">
        <v>46098</v>
      </c>
      <c r="M618" s="16">
        <v>46114</v>
      </c>
    </row>
    <row r="619" spans="1:13" x14ac:dyDescent="0.4">
      <c r="A619" s="2" t="s">
        <v>661</v>
      </c>
      <c r="B619" s="2">
        <f>VALUE(REPLACE(CustomerTable[[#This Row],[Ticket]],1,3,""))</f>
        <v>880</v>
      </c>
      <c r="C619" s="2" t="s">
        <v>1023</v>
      </c>
      <c r="D619" s="2" t="s">
        <v>2629</v>
      </c>
      <c r="E619" s="2" t="s">
        <v>405</v>
      </c>
      <c r="F619" s="2" t="s">
        <v>398</v>
      </c>
      <c r="G619" s="2" t="str">
        <f>IF(CustomerTable[[#This Row],[Status]]="RESOLVED","Done",IF(CustomerTable[[#This Row],[Status]]="CLOSED","DONE",IF(CustomerTable[[#This Row],[Status]]="DEFERRED","Done","Pending")))</f>
        <v>Done</v>
      </c>
      <c r="H619" s="2" t="s">
        <v>1028</v>
      </c>
      <c r="I619" s="2" t="s">
        <v>391</v>
      </c>
      <c r="J619" s="2" t="s">
        <v>1648</v>
      </c>
      <c r="K619" s="16">
        <v>46098</v>
      </c>
      <c r="M619" s="16">
        <v>46107</v>
      </c>
    </row>
    <row r="620" spans="1:13" x14ac:dyDescent="0.4">
      <c r="A620" s="2" t="s">
        <v>662</v>
      </c>
      <c r="B620" s="2">
        <f>VALUE(REPLACE(CustomerTable[[#This Row],[Ticket]],1,3,""))</f>
        <v>881</v>
      </c>
      <c r="C620" s="2" t="s">
        <v>1023</v>
      </c>
      <c r="D620" s="2" t="s">
        <v>2630</v>
      </c>
      <c r="E620" s="2" t="s">
        <v>399</v>
      </c>
      <c r="F620" s="2" t="s">
        <v>398</v>
      </c>
      <c r="G620" s="2" t="str">
        <f>IF(CustomerTable[[#This Row],[Status]]="RESOLVED","Done",IF(CustomerTable[[#This Row],[Status]]="CLOSED","DONE",IF(CustomerTable[[#This Row],[Status]]="DEFERRED","Done","Pending")))</f>
        <v>Done</v>
      </c>
      <c r="H620" s="2" t="s">
        <v>1028</v>
      </c>
      <c r="I620" s="2" t="s">
        <v>391</v>
      </c>
      <c r="J620" s="2" t="s">
        <v>1649</v>
      </c>
      <c r="K620" s="16">
        <v>46098</v>
      </c>
      <c r="M620" s="16">
        <v>46121</v>
      </c>
    </row>
    <row r="621" spans="1:13" x14ac:dyDescent="0.4">
      <c r="A621" s="2" t="s">
        <v>663</v>
      </c>
      <c r="B621" s="2">
        <f>VALUE(REPLACE(CustomerTable[[#This Row],[Ticket]],1,3,""))</f>
        <v>882</v>
      </c>
      <c r="C621" s="2" t="s">
        <v>1023</v>
      </c>
      <c r="D621" s="2" t="s">
        <v>2631</v>
      </c>
      <c r="E621" s="2" t="s">
        <v>405</v>
      </c>
      <c r="F621" s="2" t="s">
        <v>398</v>
      </c>
      <c r="G621" s="2" t="str">
        <f>IF(CustomerTable[[#This Row],[Status]]="RESOLVED","Done",IF(CustomerTable[[#This Row],[Status]]="CLOSED","DONE",IF(CustomerTable[[#This Row],[Status]]="DEFERRED","Done","Pending")))</f>
        <v>Done</v>
      </c>
      <c r="H621" s="2" t="s">
        <v>11</v>
      </c>
      <c r="I621" s="2" t="s">
        <v>390</v>
      </c>
      <c r="J621" s="2" t="s">
        <v>1650</v>
      </c>
      <c r="K621" s="16">
        <v>46098</v>
      </c>
      <c r="M621" s="16">
        <v>46098</v>
      </c>
    </row>
    <row r="622" spans="1:13" x14ac:dyDescent="0.4">
      <c r="A622" s="2" t="s">
        <v>664</v>
      </c>
      <c r="B622" s="2">
        <f>VALUE(REPLACE(CustomerTable[[#This Row],[Ticket]],1,3,""))</f>
        <v>883</v>
      </c>
      <c r="C622" s="2" t="s">
        <v>1024</v>
      </c>
      <c r="D622" s="2" t="s">
        <v>2632</v>
      </c>
      <c r="E622" s="2" t="s">
        <v>399</v>
      </c>
      <c r="F622" s="2" t="s">
        <v>398</v>
      </c>
      <c r="G622" s="2" t="str">
        <f>IF(CustomerTable[[#This Row],[Status]]="RESOLVED","Done",IF(CustomerTable[[#This Row],[Status]]="CLOSED","DONE",IF(CustomerTable[[#This Row],[Status]]="DEFERRED","Done","Pending")))</f>
        <v>Done</v>
      </c>
      <c r="H622" s="2" t="s">
        <v>1029</v>
      </c>
      <c r="I622" s="2" t="s">
        <v>391</v>
      </c>
      <c r="J622" s="2" t="s">
        <v>1651</v>
      </c>
      <c r="K622" s="16">
        <v>46098</v>
      </c>
      <c r="M622" s="16">
        <v>46108</v>
      </c>
    </row>
    <row r="623" spans="1:13" x14ac:dyDescent="0.4">
      <c r="A623" s="2" t="s">
        <v>665</v>
      </c>
      <c r="B623" s="2">
        <f>VALUE(REPLACE(CustomerTable[[#This Row],[Ticket]],1,3,""))</f>
        <v>884</v>
      </c>
      <c r="C623" s="2" t="s">
        <v>1024</v>
      </c>
      <c r="D623" s="2" t="s">
        <v>2633</v>
      </c>
      <c r="E623" s="2" t="s">
        <v>405</v>
      </c>
      <c r="F623" s="2" t="s">
        <v>398</v>
      </c>
      <c r="G623" s="2" t="str">
        <f>IF(CustomerTable[[#This Row],[Status]]="RESOLVED","Done",IF(CustomerTable[[#This Row],[Status]]="CLOSED","DONE",IF(CustomerTable[[#This Row],[Status]]="DEFERRED","Done","Pending")))</f>
        <v>Done</v>
      </c>
      <c r="H623" s="2" t="s">
        <v>1029</v>
      </c>
      <c r="I623" s="2" t="s">
        <v>393</v>
      </c>
      <c r="J623" s="2" t="s">
        <v>1652</v>
      </c>
      <c r="K623" s="16">
        <v>46098</v>
      </c>
      <c r="M623" s="16">
        <v>46105</v>
      </c>
    </row>
    <row r="624" spans="1:13" x14ac:dyDescent="0.4">
      <c r="A624" s="2" t="s">
        <v>666</v>
      </c>
      <c r="B624" s="2">
        <f>VALUE(REPLACE(CustomerTable[[#This Row],[Ticket]],1,3,""))</f>
        <v>885</v>
      </c>
      <c r="C624" s="2" t="s">
        <v>1023</v>
      </c>
      <c r="D624" s="2" t="s">
        <v>2634</v>
      </c>
      <c r="E624" s="2" t="s">
        <v>400</v>
      </c>
      <c r="F624" s="2" t="s">
        <v>398</v>
      </c>
      <c r="G624" s="2" t="str">
        <f>IF(CustomerTable[[#This Row],[Status]]="RESOLVED","Done",IF(CustomerTable[[#This Row],[Status]]="CLOSED","DONE",IF(CustomerTable[[#This Row],[Status]]="DEFERRED","Done","Pending")))</f>
        <v>Done</v>
      </c>
      <c r="H624" s="2" t="s">
        <v>1032</v>
      </c>
      <c r="I624" s="2" t="s">
        <v>390</v>
      </c>
      <c r="J624" s="2" t="s">
        <v>1653</v>
      </c>
      <c r="K624" s="16">
        <v>46100</v>
      </c>
      <c r="M624" s="16">
        <v>46139</v>
      </c>
    </row>
    <row r="625" spans="1:13" x14ac:dyDescent="0.4">
      <c r="A625" s="2" t="s">
        <v>667</v>
      </c>
      <c r="B625" s="2">
        <f>VALUE(REPLACE(CustomerTable[[#This Row],[Ticket]],1,3,""))</f>
        <v>886</v>
      </c>
      <c r="C625" s="2" t="s">
        <v>1023</v>
      </c>
      <c r="D625" s="2" t="s">
        <v>2635</v>
      </c>
      <c r="E625" s="2" t="s">
        <v>405</v>
      </c>
      <c r="F625" s="2" t="s">
        <v>398</v>
      </c>
      <c r="G625" s="2" t="str">
        <f>IF(CustomerTable[[#This Row],[Status]]="RESOLVED","Done",IF(CustomerTable[[#This Row],[Status]]="CLOSED","DONE",IF(CustomerTable[[#This Row],[Status]]="DEFERRED","Done","Pending")))</f>
        <v>Done</v>
      </c>
      <c r="H625" s="2" t="s">
        <v>11</v>
      </c>
      <c r="I625" s="2" t="s">
        <v>388</v>
      </c>
      <c r="J625" s="2" t="s">
        <v>1654</v>
      </c>
      <c r="K625" s="16">
        <v>46100</v>
      </c>
      <c r="M625" s="16"/>
    </row>
    <row r="626" spans="1:13" x14ac:dyDescent="0.4">
      <c r="A626" s="2" t="s">
        <v>668</v>
      </c>
      <c r="B626" s="2">
        <f>VALUE(REPLACE(CustomerTable[[#This Row],[Ticket]],1,3,""))</f>
        <v>887</v>
      </c>
      <c r="C626" s="2" t="s">
        <v>1023</v>
      </c>
      <c r="D626" s="2" t="s">
        <v>2636</v>
      </c>
      <c r="E626" s="2" t="s">
        <v>405</v>
      </c>
      <c r="F626" s="2" t="s">
        <v>398</v>
      </c>
      <c r="G626" s="2" t="str">
        <f>IF(CustomerTable[[#This Row],[Status]]="RESOLVED","Done",IF(CustomerTable[[#This Row],[Status]]="CLOSED","DONE",IF(CustomerTable[[#This Row],[Status]]="DEFERRED","Done","Pending")))</f>
        <v>Done</v>
      </c>
      <c r="H626" s="2" t="s">
        <v>1028</v>
      </c>
      <c r="I626" s="2" t="s">
        <v>391</v>
      </c>
      <c r="J626" s="2" t="s">
        <v>1655</v>
      </c>
      <c r="K626" s="16">
        <v>46100</v>
      </c>
      <c r="M626" s="16">
        <v>46107</v>
      </c>
    </row>
    <row r="627" spans="1:13" x14ac:dyDescent="0.4">
      <c r="A627" s="2" t="s">
        <v>669</v>
      </c>
      <c r="B627" s="2">
        <f>VALUE(REPLACE(CustomerTable[[#This Row],[Ticket]],1,3,""))</f>
        <v>888</v>
      </c>
      <c r="C627" s="2" t="s">
        <v>1023</v>
      </c>
      <c r="D627" s="2" t="s">
        <v>2637</v>
      </c>
      <c r="E627" s="2" t="s">
        <v>400</v>
      </c>
      <c r="F627" s="2" t="s">
        <v>398</v>
      </c>
      <c r="G627" s="2" t="str">
        <f>IF(CustomerTable[[#This Row],[Status]]="RESOLVED","Done",IF(CustomerTable[[#This Row],[Status]]="CLOSED","DONE",IF(CustomerTable[[#This Row],[Status]]="DEFERRED","Done","Pending")))</f>
        <v>Done</v>
      </c>
      <c r="H627" s="2" t="s">
        <v>1034</v>
      </c>
      <c r="I627" s="2" t="s">
        <v>394</v>
      </c>
      <c r="J627" s="2" t="s">
        <v>1656</v>
      </c>
      <c r="K627" s="16">
        <v>46101</v>
      </c>
      <c r="M627" s="16">
        <v>46132</v>
      </c>
    </row>
    <row r="628" spans="1:13" x14ac:dyDescent="0.4">
      <c r="A628" s="2" t="s">
        <v>670</v>
      </c>
      <c r="B628" s="2">
        <f>VALUE(REPLACE(CustomerTable[[#This Row],[Ticket]],1,3,""))</f>
        <v>889</v>
      </c>
      <c r="C628" s="2" t="s">
        <v>1023</v>
      </c>
      <c r="D628" s="2" t="s">
        <v>2638</v>
      </c>
      <c r="E628" s="2" t="s">
        <v>405</v>
      </c>
      <c r="F628" s="2" t="s">
        <v>398</v>
      </c>
      <c r="G628" s="2" t="str">
        <f>IF(CustomerTable[[#This Row],[Status]]="RESOLVED","Done",IF(CustomerTable[[#This Row],[Status]]="CLOSED","DONE",IF(CustomerTable[[#This Row],[Status]]="DEFERRED","Done","Pending")))</f>
        <v>Done</v>
      </c>
      <c r="H628" s="2" t="s">
        <v>11</v>
      </c>
      <c r="I628" s="2" t="s">
        <v>392</v>
      </c>
      <c r="J628" s="2" t="s">
        <v>1657</v>
      </c>
      <c r="K628" s="16">
        <v>46101</v>
      </c>
      <c r="M628" s="16">
        <v>46104</v>
      </c>
    </row>
    <row r="629" spans="1:13" x14ac:dyDescent="0.4">
      <c r="A629" s="2" t="s">
        <v>671</v>
      </c>
      <c r="B629" s="2">
        <f>VALUE(REPLACE(CustomerTable[[#This Row],[Ticket]],1,3,""))</f>
        <v>890</v>
      </c>
      <c r="C629" s="2" t="s">
        <v>1023</v>
      </c>
      <c r="D629" s="2" t="s">
        <v>2639</v>
      </c>
      <c r="E629" s="2" t="s">
        <v>400</v>
      </c>
      <c r="F629" s="2" t="s">
        <v>398</v>
      </c>
      <c r="G629" s="2" t="str">
        <f>IF(CustomerTable[[#This Row],[Status]]="RESOLVED","Done",IF(CustomerTable[[#This Row],[Status]]="CLOSED","DONE",IF(CustomerTable[[#This Row],[Status]]="DEFERRED","Done","Pending")))</f>
        <v>Done</v>
      </c>
      <c r="H629" s="2" t="s">
        <v>1034</v>
      </c>
      <c r="I629" s="2" t="s">
        <v>390</v>
      </c>
      <c r="J629" s="2" t="s">
        <v>1658</v>
      </c>
      <c r="K629" s="16">
        <v>46101</v>
      </c>
      <c r="M629" s="16">
        <v>46146</v>
      </c>
    </row>
    <row r="630" spans="1:13" x14ac:dyDescent="0.4">
      <c r="A630" s="2" t="s">
        <v>672</v>
      </c>
      <c r="B630" s="2">
        <f>VALUE(REPLACE(CustomerTable[[#This Row],[Ticket]],1,3,""))</f>
        <v>891</v>
      </c>
      <c r="C630" s="2" t="s">
        <v>1023</v>
      </c>
      <c r="D630" s="2" t="s">
        <v>2640</v>
      </c>
      <c r="E630" s="2" t="s">
        <v>405</v>
      </c>
      <c r="F630" s="2" t="s">
        <v>398</v>
      </c>
      <c r="G630" s="2" t="str">
        <f>IF(CustomerTable[[#This Row],[Status]]="RESOLVED","Done",IF(CustomerTable[[#This Row],[Status]]="CLOSED","DONE",IF(CustomerTable[[#This Row],[Status]]="DEFERRED","Done","Pending")))</f>
        <v>Done</v>
      </c>
      <c r="H630" s="2" t="s">
        <v>1028</v>
      </c>
      <c r="I630" s="2" t="s">
        <v>392</v>
      </c>
      <c r="J630" s="2" t="s">
        <v>1659</v>
      </c>
      <c r="K630" s="16">
        <v>46101</v>
      </c>
      <c r="M630" s="16">
        <v>46105</v>
      </c>
    </row>
    <row r="631" spans="1:13" x14ac:dyDescent="0.4">
      <c r="A631" s="2" t="s">
        <v>673</v>
      </c>
      <c r="B631" s="2">
        <f>VALUE(REPLACE(CustomerTable[[#This Row],[Ticket]],1,3,""))</f>
        <v>892</v>
      </c>
      <c r="C631" s="2" t="s">
        <v>1023</v>
      </c>
      <c r="D631" s="2" t="s">
        <v>2641</v>
      </c>
      <c r="E631" s="2" t="s">
        <v>399</v>
      </c>
      <c r="F631" s="2" t="s">
        <v>413</v>
      </c>
      <c r="G631" s="2" t="str">
        <f>IF(CustomerTable[[#This Row],[Status]]="RESOLVED","Done",IF(CustomerTable[[#This Row],[Status]]="CLOSED","DONE",IF(CustomerTable[[#This Row],[Status]]="DEFERRED","Done","Pending")))</f>
        <v>DONE</v>
      </c>
      <c r="H631" s="2" t="s">
        <v>1028</v>
      </c>
      <c r="I631" s="2" t="s">
        <v>390</v>
      </c>
      <c r="J631" s="2" t="s">
        <v>1660</v>
      </c>
      <c r="K631" s="16">
        <v>46105</v>
      </c>
      <c r="M631" s="16"/>
    </row>
    <row r="632" spans="1:13" x14ac:dyDescent="0.4">
      <c r="A632" s="2" t="s">
        <v>674</v>
      </c>
      <c r="B632" s="2">
        <f>VALUE(REPLACE(CustomerTable[[#This Row],[Ticket]],1,3,""))</f>
        <v>893</v>
      </c>
      <c r="C632" s="2" t="s">
        <v>1023</v>
      </c>
      <c r="D632" s="2" t="s">
        <v>2642</v>
      </c>
      <c r="E632" s="2" t="s">
        <v>405</v>
      </c>
      <c r="F632" s="2" t="s">
        <v>398</v>
      </c>
      <c r="G632" s="2" t="str">
        <f>IF(CustomerTable[[#This Row],[Status]]="RESOLVED","Done",IF(CustomerTable[[#This Row],[Status]]="CLOSED","DONE",IF(CustomerTable[[#This Row],[Status]]="DEFERRED","Done","Pending")))</f>
        <v>Done</v>
      </c>
      <c r="H632" s="2" t="s">
        <v>1028</v>
      </c>
      <c r="I632" s="2" t="s">
        <v>389</v>
      </c>
      <c r="J632" s="2" t="s">
        <v>1661</v>
      </c>
      <c r="K632" s="16">
        <v>46105</v>
      </c>
      <c r="M632" s="16">
        <v>46107</v>
      </c>
    </row>
    <row r="633" spans="1:13" x14ac:dyDescent="0.4">
      <c r="A633" s="2" t="s">
        <v>675</v>
      </c>
      <c r="B633" s="2">
        <f>VALUE(REPLACE(CustomerTable[[#This Row],[Ticket]],1,3,""))</f>
        <v>894</v>
      </c>
      <c r="C633" s="2" t="s">
        <v>1023</v>
      </c>
      <c r="D633" s="2" t="s">
        <v>2643</v>
      </c>
      <c r="E633" s="2" t="s">
        <v>405</v>
      </c>
      <c r="F633" s="2" t="s">
        <v>398</v>
      </c>
      <c r="G633" s="2" t="str">
        <f>IF(CustomerTable[[#This Row],[Status]]="RESOLVED","Done",IF(CustomerTable[[#This Row],[Status]]="CLOSED","DONE",IF(CustomerTable[[#This Row],[Status]]="DEFERRED","Done","Pending")))</f>
        <v>Done</v>
      </c>
      <c r="H633" s="2" t="s">
        <v>1028</v>
      </c>
      <c r="I633" s="2" t="s">
        <v>392</v>
      </c>
      <c r="J633" s="2" t="s">
        <v>1662</v>
      </c>
      <c r="K633" s="16">
        <v>46105</v>
      </c>
      <c r="M633" s="16">
        <v>46107</v>
      </c>
    </row>
    <row r="634" spans="1:13" x14ac:dyDescent="0.4">
      <c r="A634" s="2" t="s">
        <v>676</v>
      </c>
      <c r="B634" s="2">
        <f>VALUE(REPLACE(CustomerTable[[#This Row],[Ticket]],1,3,""))</f>
        <v>895</v>
      </c>
      <c r="C634" s="2" t="s">
        <v>1023</v>
      </c>
      <c r="D634" s="2" t="s">
        <v>2644</v>
      </c>
      <c r="E634" s="2" t="s">
        <v>399</v>
      </c>
      <c r="F634" s="2" t="s">
        <v>398</v>
      </c>
      <c r="G634" s="2" t="str">
        <f>IF(CustomerTable[[#This Row],[Status]]="RESOLVED","Done",IF(CustomerTable[[#This Row],[Status]]="CLOSED","DONE",IF(CustomerTable[[#This Row],[Status]]="DEFERRED","Done","Pending")))</f>
        <v>Done</v>
      </c>
      <c r="H634" s="2" t="s">
        <v>11</v>
      </c>
      <c r="I634" s="2" t="s">
        <v>394</v>
      </c>
      <c r="J634" s="2" t="s">
        <v>1663</v>
      </c>
      <c r="K634" s="16">
        <v>46105</v>
      </c>
      <c r="M634" s="16">
        <v>46126</v>
      </c>
    </row>
    <row r="635" spans="1:13" x14ac:dyDescent="0.4">
      <c r="A635" s="2" t="s">
        <v>677</v>
      </c>
      <c r="B635" s="2">
        <f>VALUE(REPLACE(CustomerTable[[#This Row],[Ticket]],1,3,""))</f>
        <v>896</v>
      </c>
      <c r="C635" s="2" t="s">
        <v>1024</v>
      </c>
      <c r="D635" s="2" t="s">
        <v>2645</v>
      </c>
      <c r="E635" s="2" t="s">
        <v>399</v>
      </c>
      <c r="F635" s="2" t="s">
        <v>398</v>
      </c>
      <c r="G635" s="2" t="str">
        <f>IF(CustomerTable[[#This Row],[Status]]="RESOLVED","Done",IF(CustomerTable[[#This Row],[Status]]="CLOSED","DONE",IF(CustomerTable[[#This Row],[Status]]="DEFERRED","Done","Pending")))</f>
        <v>Done</v>
      </c>
      <c r="H635" s="2" t="s">
        <v>1029</v>
      </c>
      <c r="I635" s="2" t="s">
        <v>395</v>
      </c>
      <c r="J635" s="2" t="s">
        <v>1664</v>
      </c>
      <c r="K635" s="16">
        <v>46106</v>
      </c>
      <c r="M635" s="16">
        <v>46112</v>
      </c>
    </row>
    <row r="636" spans="1:13" x14ac:dyDescent="0.4">
      <c r="A636" s="2" t="s">
        <v>678</v>
      </c>
      <c r="B636" s="2">
        <f>VALUE(REPLACE(CustomerTable[[#This Row],[Ticket]],1,3,""))</f>
        <v>897</v>
      </c>
      <c r="C636" s="2" t="s">
        <v>1023</v>
      </c>
      <c r="D636" s="2" t="s">
        <v>2646</v>
      </c>
      <c r="E636" s="2" t="s">
        <v>405</v>
      </c>
      <c r="F636" s="2" t="s">
        <v>398</v>
      </c>
      <c r="G636" s="2" t="str">
        <f>IF(CustomerTable[[#This Row],[Status]]="RESOLVED","Done",IF(CustomerTable[[#This Row],[Status]]="CLOSED","DONE",IF(CustomerTable[[#This Row],[Status]]="DEFERRED","Done","Pending")))</f>
        <v>Done</v>
      </c>
      <c r="H636" s="2" t="s">
        <v>1028</v>
      </c>
      <c r="I636" s="2" t="s">
        <v>392</v>
      </c>
      <c r="J636" s="2" t="s">
        <v>1665</v>
      </c>
      <c r="K636" s="16">
        <v>46107</v>
      </c>
      <c r="M636" s="16">
        <v>46111</v>
      </c>
    </row>
    <row r="637" spans="1:13" x14ac:dyDescent="0.4">
      <c r="A637" s="2" t="s">
        <v>679</v>
      </c>
      <c r="B637" s="2">
        <f>VALUE(REPLACE(CustomerTable[[#This Row],[Ticket]],1,3,""))</f>
        <v>898</v>
      </c>
      <c r="C637" s="2" t="s">
        <v>1023</v>
      </c>
      <c r="D637" s="2" t="s">
        <v>2647</v>
      </c>
      <c r="E637" s="2" t="s">
        <v>400</v>
      </c>
      <c r="F637" s="2" t="s">
        <v>398</v>
      </c>
      <c r="G637" s="2" t="str">
        <f>IF(CustomerTable[[#This Row],[Status]]="RESOLVED","Done",IF(CustomerTable[[#This Row],[Status]]="CLOSED","DONE",IF(CustomerTable[[#This Row],[Status]]="DEFERRED","Done","Pending")))</f>
        <v>Done</v>
      </c>
      <c r="I637" s="2" t="s">
        <v>392</v>
      </c>
      <c r="J637" s="2" t="s">
        <v>1666</v>
      </c>
      <c r="K637" s="16">
        <v>46107</v>
      </c>
      <c r="M637" s="16"/>
    </row>
    <row r="638" spans="1:13" x14ac:dyDescent="0.4">
      <c r="A638" s="2" t="s">
        <v>680</v>
      </c>
      <c r="B638" s="2">
        <f>VALUE(REPLACE(CustomerTable[[#This Row],[Ticket]],1,3,""))</f>
        <v>899</v>
      </c>
      <c r="C638" s="2" t="s">
        <v>1023</v>
      </c>
      <c r="D638" s="2" t="s">
        <v>2648</v>
      </c>
      <c r="E638" s="2" t="s">
        <v>405</v>
      </c>
      <c r="F638" s="2" t="s">
        <v>398</v>
      </c>
      <c r="G638" s="2" t="str">
        <f>IF(CustomerTable[[#This Row],[Status]]="RESOLVED","Done",IF(CustomerTable[[#This Row],[Status]]="CLOSED","DONE",IF(CustomerTable[[#This Row],[Status]]="DEFERRED","Done","Pending")))</f>
        <v>Done</v>
      </c>
      <c r="I638" s="2" t="s">
        <v>391</v>
      </c>
      <c r="J638" s="2" t="s">
        <v>1667</v>
      </c>
      <c r="K638" s="16">
        <v>46107</v>
      </c>
      <c r="M638" s="16"/>
    </row>
    <row r="639" spans="1:13" x14ac:dyDescent="0.4">
      <c r="A639" s="2" t="s">
        <v>681</v>
      </c>
      <c r="B639" s="2">
        <f>VALUE(REPLACE(CustomerTable[[#This Row],[Ticket]],1,3,""))</f>
        <v>900</v>
      </c>
      <c r="C639" s="2" t="s">
        <v>1023</v>
      </c>
      <c r="D639" s="2" t="s">
        <v>2649</v>
      </c>
      <c r="E639" s="2" t="s">
        <v>405</v>
      </c>
      <c r="F639" s="2" t="s">
        <v>398</v>
      </c>
      <c r="G639" s="2" t="str">
        <f>IF(CustomerTable[[#This Row],[Status]]="RESOLVED","Done",IF(CustomerTable[[#This Row],[Status]]="CLOSED","DONE",IF(CustomerTable[[#This Row],[Status]]="DEFERRED","Done","Pending")))</f>
        <v>Done</v>
      </c>
      <c r="H639" s="2" t="s">
        <v>1028</v>
      </c>
      <c r="I639" s="2" t="s">
        <v>389</v>
      </c>
      <c r="J639" s="2" t="s">
        <v>1668</v>
      </c>
      <c r="K639" s="16">
        <v>46107</v>
      </c>
      <c r="M639" s="16">
        <v>46114</v>
      </c>
    </row>
    <row r="640" spans="1:13" x14ac:dyDescent="0.4">
      <c r="A640" s="2" t="s">
        <v>682</v>
      </c>
      <c r="B640" s="2">
        <f>VALUE(REPLACE(CustomerTable[[#This Row],[Ticket]],1,3,""))</f>
        <v>901</v>
      </c>
      <c r="C640" s="2" t="s">
        <v>1024</v>
      </c>
      <c r="D640" s="2" t="s">
        <v>2650</v>
      </c>
      <c r="E640" s="2" t="s">
        <v>399</v>
      </c>
      <c r="F640" s="2" t="s">
        <v>398</v>
      </c>
      <c r="G640" s="2" t="str">
        <f>IF(CustomerTable[[#This Row],[Status]]="RESOLVED","Done",IF(CustomerTable[[#This Row],[Status]]="CLOSED","DONE",IF(CustomerTable[[#This Row],[Status]]="DEFERRED","Done","Pending")))</f>
        <v>Done</v>
      </c>
      <c r="H640" s="2" t="s">
        <v>11</v>
      </c>
      <c r="I640" s="2" t="s">
        <v>390</v>
      </c>
      <c r="J640" s="2" t="s">
        <v>1669</v>
      </c>
      <c r="K640" s="16">
        <v>46107</v>
      </c>
      <c r="M640" s="16">
        <v>46125</v>
      </c>
    </row>
    <row r="641" spans="1:13" x14ac:dyDescent="0.4">
      <c r="A641" s="2" t="s">
        <v>683</v>
      </c>
      <c r="B641" s="2">
        <f>VALUE(REPLACE(CustomerTable[[#This Row],[Ticket]],1,3,""))</f>
        <v>902</v>
      </c>
      <c r="C641" s="2" t="s">
        <v>1024</v>
      </c>
      <c r="D641" s="2" t="s">
        <v>2651</v>
      </c>
      <c r="E641" s="2" t="s">
        <v>399</v>
      </c>
      <c r="F641" s="2" t="s">
        <v>398</v>
      </c>
      <c r="G641" s="2" t="str">
        <f>IF(CustomerTable[[#This Row],[Status]]="RESOLVED","Done",IF(CustomerTable[[#This Row],[Status]]="CLOSED","DONE",IF(CustomerTable[[#This Row],[Status]]="DEFERRED","Done","Pending")))</f>
        <v>Done</v>
      </c>
      <c r="H641" s="2" t="s">
        <v>1029</v>
      </c>
      <c r="I641" s="2" t="s">
        <v>393</v>
      </c>
      <c r="J641" s="2" t="s">
        <v>1670</v>
      </c>
      <c r="K641" s="16">
        <v>46107</v>
      </c>
      <c r="M641" s="16">
        <v>46114</v>
      </c>
    </row>
    <row r="642" spans="1:13" x14ac:dyDescent="0.4">
      <c r="A642" s="2" t="s">
        <v>684</v>
      </c>
      <c r="B642" s="2">
        <f>VALUE(REPLACE(CustomerTable[[#This Row],[Ticket]],1,3,""))</f>
        <v>903</v>
      </c>
      <c r="C642" s="2" t="s">
        <v>1023</v>
      </c>
      <c r="D642" s="2" t="s">
        <v>2652</v>
      </c>
      <c r="E642" s="2" t="s">
        <v>405</v>
      </c>
      <c r="F642" s="2" t="s">
        <v>398</v>
      </c>
      <c r="G642" s="2" t="str">
        <f>IF(CustomerTable[[#This Row],[Status]]="RESOLVED","Done",IF(CustomerTable[[#This Row],[Status]]="CLOSED","DONE",IF(CustomerTable[[#This Row],[Status]]="DEFERRED","Done","Pending")))</f>
        <v>Done</v>
      </c>
      <c r="H642" s="2" t="s">
        <v>1028</v>
      </c>
      <c r="I642" s="2" t="s">
        <v>392</v>
      </c>
      <c r="J642" s="2" t="s">
        <v>1671</v>
      </c>
      <c r="K642" s="16">
        <v>46108</v>
      </c>
      <c r="M642" s="16">
        <v>46127</v>
      </c>
    </row>
    <row r="643" spans="1:13" x14ac:dyDescent="0.4">
      <c r="A643" s="2" t="s">
        <v>685</v>
      </c>
      <c r="B643" s="2">
        <f>VALUE(REPLACE(CustomerTable[[#This Row],[Ticket]],1,3,""))</f>
        <v>904</v>
      </c>
      <c r="C643" s="2" t="s">
        <v>1023</v>
      </c>
      <c r="D643" s="2" t="s">
        <v>2653</v>
      </c>
      <c r="E643" s="2" t="s">
        <v>405</v>
      </c>
      <c r="F643" s="2" t="s">
        <v>398</v>
      </c>
      <c r="G643" s="2" t="str">
        <f>IF(CustomerTable[[#This Row],[Status]]="RESOLVED","Done",IF(CustomerTable[[#This Row],[Status]]="CLOSED","DONE",IF(CustomerTable[[#This Row],[Status]]="DEFERRED","Done","Pending")))</f>
        <v>Done</v>
      </c>
      <c r="H643" s="2" t="s">
        <v>1028</v>
      </c>
      <c r="I643" s="2" t="s">
        <v>389</v>
      </c>
      <c r="J643" s="2" t="s">
        <v>1672</v>
      </c>
      <c r="K643" s="16">
        <v>46108</v>
      </c>
      <c r="M643" s="16">
        <v>46113</v>
      </c>
    </row>
    <row r="644" spans="1:13" x14ac:dyDescent="0.4">
      <c r="A644" s="2" t="s">
        <v>686</v>
      </c>
      <c r="B644" s="2">
        <f>VALUE(REPLACE(CustomerTable[[#This Row],[Ticket]],1,3,""))</f>
        <v>905</v>
      </c>
      <c r="C644" s="2" t="s">
        <v>1023</v>
      </c>
      <c r="D644" s="2" t="s">
        <v>2654</v>
      </c>
      <c r="E644" s="2" t="s">
        <v>399</v>
      </c>
      <c r="F644" s="2" t="s">
        <v>398</v>
      </c>
      <c r="G644" s="2" t="str">
        <f>IF(CustomerTable[[#This Row],[Status]]="RESOLVED","Done",IF(CustomerTable[[#This Row],[Status]]="CLOSED","DONE",IF(CustomerTable[[#This Row],[Status]]="DEFERRED","Done","Pending")))</f>
        <v>Done</v>
      </c>
      <c r="H644" s="2" t="s">
        <v>1028</v>
      </c>
      <c r="I644" s="2" t="s">
        <v>394</v>
      </c>
      <c r="J644" s="2" t="s">
        <v>1673</v>
      </c>
      <c r="K644" s="16">
        <v>46108</v>
      </c>
      <c r="M644" s="16">
        <v>46120</v>
      </c>
    </row>
    <row r="645" spans="1:13" x14ac:dyDescent="0.4">
      <c r="A645" s="2" t="s">
        <v>687</v>
      </c>
      <c r="B645" s="2">
        <f>VALUE(REPLACE(CustomerTable[[#This Row],[Ticket]],1,3,""))</f>
        <v>906</v>
      </c>
      <c r="C645" s="2" t="s">
        <v>1023</v>
      </c>
      <c r="D645" s="2" t="s">
        <v>2655</v>
      </c>
      <c r="E645" s="2" t="s">
        <v>399</v>
      </c>
      <c r="F645" s="2" t="s">
        <v>398</v>
      </c>
      <c r="G645" s="2" t="str">
        <f>IF(CustomerTable[[#This Row],[Status]]="RESOLVED","Done",IF(CustomerTable[[#This Row],[Status]]="CLOSED","DONE",IF(CustomerTable[[#This Row],[Status]]="DEFERRED","Done","Pending")))</f>
        <v>Done</v>
      </c>
      <c r="H645" s="2" t="s">
        <v>1028</v>
      </c>
      <c r="I645" s="2" t="s">
        <v>391</v>
      </c>
      <c r="J645" s="2" t="s">
        <v>1674</v>
      </c>
      <c r="K645" s="16">
        <v>46111</v>
      </c>
      <c r="M645" s="16">
        <v>46115</v>
      </c>
    </row>
    <row r="646" spans="1:13" x14ac:dyDescent="0.4">
      <c r="A646" s="2" t="s">
        <v>688</v>
      </c>
      <c r="B646" s="2">
        <f>VALUE(REPLACE(CustomerTable[[#This Row],[Ticket]],1,3,""))</f>
        <v>907</v>
      </c>
      <c r="C646" s="2" t="s">
        <v>1023</v>
      </c>
      <c r="D646" s="2" t="s">
        <v>2656</v>
      </c>
      <c r="E646" s="2" t="s">
        <v>405</v>
      </c>
      <c r="F646" s="2" t="s">
        <v>398</v>
      </c>
      <c r="G646" s="2" t="str">
        <f>IF(CustomerTable[[#This Row],[Status]]="RESOLVED","Done",IF(CustomerTable[[#This Row],[Status]]="CLOSED","DONE",IF(CustomerTable[[#This Row],[Status]]="DEFERRED","Done","Pending")))</f>
        <v>Done</v>
      </c>
      <c r="H646" s="2" t="s">
        <v>1028</v>
      </c>
      <c r="I646" s="2" t="s">
        <v>389</v>
      </c>
      <c r="J646" s="2" t="s">
        <v>1675</v>
      </c>
      <c r="K646" s="16">
        <v>46111</v>
      </c>
      <c r="M646" s="16">
        <v>46119</v>
      </c>
    </row>
    <row r="647" spans="1:13" x14ac:dyDescent="0.4">
      <c r="A647" s="2" t="s">
        <v>689</v>
      </c>
      <c r="B647" s="2">
        <f>VALUE(REPLACE(CustomerTable[[#This Row],[Ticket]],1,3,""))</f>
        <v>908</v>
      </c>
      <c r="C647" s="2" t="s">
        <v>1023</v>
      </c>
      <c r="D647" s="2" t="s">
        <v>2657</v>
      </c>
      <c r="E647" s="2" t="s">
        <v>399</v>
      </c>
      <c r="F647" s="2" t="s">
        <v>398</v>
      </c>
      <c r="G647" s="2" t="str">
        <f>IF(CustomerTable[[#This Row],[Status]]="RESOLVED","Done",IF(CustomerTable[[#This Row],[Status]]="CLOSED","DONE",IF(CustomerTable[[#This Row],[Status]]="DEFERRED","Done","Pending")))</f>
        <v>Done</v>
      </c>
      <c r="H647" s="2" t="s">
        <v>11</v>
      </c>
      <c r="I647" s="2" t="s">
        <v>388</v>
      </c>
      <c r="J647" s="2" t="s">
        <v>1676</v>
      </c>
      <c r="K647" s="16">
        <v>46111</v>
      </c>
      <c r="M647" s="16">
        <v>46111</v>
      </c>
    </row>
    <row r="648" spans="1:13" x14ac:dyDescent="0.4">
      <c r="A648" s="2" t="s">
        <v>690</v>
      </c>
      <c r="B648" s="2">
        <f>VALUE(REPLACE(CustomerTable[[#This Row],[Ticket]],1,3,""))</f>
        <v>909</v>
      </c>
      <c r="C648" s="2" t="s">
        <v>1023</v>
      </c>
      <c r="D648" s="2" t="s">
        <v>2658</v>
      </c>
      <c r="E648" s="2" t="s">
        <v>399</v>
      </c>
      <c r="F648" s="2" t="s">
        <v>398</v>
      </c>
      <c r="G648" s="2" t="str">
        <f>IF(CustomerTable[[#This Row],[Status]]="RESOLVED","Done",IF(CustomerTable[[#This Row],[Status]]="CLOSED","DONE",IF(CustomerTable[[#This Row],[Status]]="DEFERRED","Done","Pending")))</f>
        <v>Done</v>
      </c>
      <c r="H648" s="2" t="s">
        <v>1028</v>
      </c>
      <c r="I648" s="2" t="s">
        <v>391</v>
      </c>
      <c r="J648" s="2" t="s">
        <v>1677</v>
      </c>
      <c r="K648" s="16">
        <v>46111</v>
      </c>
      <c r="M648" s="16">
        <v>46126</v>
      </c>
    </row>
    <row r="649" spans="1:13" x14ac:dyDescent="0.4">
      <c r="A649" s="2" t="s">
        <v>692</v>
      </c>
      <c r="B649" s="2">
        <f>VALUE(REPLACE(CustomerTable[[#This Row],[Ticket]],1,3,""))</f>
        <v>910</v>
      </c>
      <c r="C649" s="2" t="s">
        <v>1023</v>
      </c>
      <c r="D649" s="2" t="s">
        <v>2659</v>
      </c>
      <c r="E649" s="2" t="s">
        <v>405</v>
      </c>
      <c r="F649" s="2" t="s">
        <v>398</v>
      </c>
      <c r="G649" s="2" t="str">
        <f>IF(CustomerTable[[#This Row],[Status]]="RESOLVED","Done",IF(CustomerTable[[#This Row],[Status]]="CLOSED","DONE",IF(CustomerTable[[#This Row],[Status]]="DEFERRED","Done","Pending")))</f>
        <v>Done</v>
      </c>
      <c r="H649" s="2" t="s">
        <v>1028</v>
      </c>
      <c r="I649" s="2" t="s">
        <v>395</v>
      </c>
      <c r="J649" s="2" t="s">
        <v>1678</v>
      </c>
      <c r="K649" s="16">
        <v>46113</v>
      </c>
      <c r="M649" s="16">
        <v>46120</v>
      </c>
    </row>
    <row r="650" spans="1:13" x14ac:dyDescent="0.4">
      <c r="A650" s="2" t="s">
        <v>693</v>
      </c>
      <c r="B650" s="2">
        <f>VALUE(REPLACE(CustomerTable[[#This Row],[Ticket]],1,3,""))</f>
        <v>911</v>
      </c>
      <c r="C650" s="2" t="s">
        <v>1023</v>
      </c>
      <c r="D650" s="2" t="s">
        <v>2660</v>
      </c>
      <c r="E650" s="2" t="s">
        <v>399</v>
      </c>
      <c r="F650" s="2" t="s">
        <v>398</v>
      </c>
      <c r="G650" s="2" t="str">
        <f>IF(CustomerTable[[#This Row],[Status]]="RESOLVED","Done",IF(CustomerTable[[#This Row],[Status]]="CLOSED","DONE",IF(CustomerTable[[#This Row],[Status]]="DEFERRED","Done","Pending")))</f>
        <v>Done</v>
      </c>
      <c r="H650" s="2" t="s">
        <v>1028</v>
      </c>
      <c r="I650" s="2" t="s">
        <v>392</v>
      </c>
      <c r="J650" s="2" t="s">
        <v>1679</v>
      </c>
      <c r="K650" s="16">
        <v>46113</v>
      </c>
      <c r="M650" s="16">
        <v>46119</v>
      </c>
    </row>
    <row r="651" spans="1:13" x14ac:dyDescent="0.4">
      <c r="A651" s="2" t="s">
        <v>694</v>
      </c>
      <c r="B651" s="2">
        <f>VALUE(REPLACE(CustomerTable[[#This Row],[Ticket]],1,3,""))</f>
        <v>912</v>
      </c>
      <c r="C651" s="2" t="s">
        <v>1023</v>
      </c>
      <c r="D651" s="2" t="s">
        <v>2661</v>
      </c>
      <c r="E651" s="2" t="s">
        <v>405</v>
      </c>
      <c r="F651" s="2" t="s">
        <v>398</v>
      </c>
      <c r="G651" s="2" t="str">
        <f>IF(CustomerTable[[#This Row],[Status]]="RESOLVED","Done",IF(CustomerTable[[#This Row],[Status]]="CLOSED","DONE",IF(CustomerTable[[#This Row],[Status]]="DEFERRED","Done","Pending")))</f>
        <v>Done</v>
      </c>
      <c r="H651" s="2" t="s">
        <v>1028</v>
      </c>
      <c r="I651" s="2" t="s">
        <v>391</v>
      </c>
      <c r="J651" s="2" t="s">
        <v>1680</v>
      </c>
      <c r="K651" s="16">
        <v>46113</v>
      </c>
      <c r="M651" s="16">
        <v>46126</v>
      </c>
    </row>
    <row r="652" spans="1:13" x14ac:dyDescent="0.4">
      <c r="A652" s="2" t="s">
        <v>695</v>
      </c>
      <c r="B652" s="2">
        <f>VALUE(REPLACE(CustomerTable[[#This Row],[Ticket]],1,3,""))</f>
        <v>913</v>
      </c>
      <c r="C652" s="2" t="s">
        <v>1023</v>
      </c>
      <c r="D652" s="2" t="s">
        <v>2662</v>
      </c>
      <c r="E652" s="2" t="s">
        <v>405</v>
      </c>
      <c r="F652" s="2" t="s">
        <v>398</v>
      </c>
      <c r="G652" s="2" t="str">
        <f>IF(CustomerTable[[#This Row],[Status]]="RESOLVED","Done",IF(CustomerTable[[#This Row],[Status]]="CLOSED","DONE",IF(CustomerTable[[#This Row],[Status]]="DEFERRED","Done","Pending")))</f>
        <v>Done</v>
      </c>
      <c r="H652" s="2" t="s">
        <v>11</v>
      </c>
      <c r="I652" s="2" t="s">
        <v>395</v>
      </c>
      <c r="J652" s="2" t="s">
        <v>1681</v>
      </c>
      <c r="K652" s="16">
        <v>46113</v>
      </c>
      <c r="M652" s="16">
        <v>46113</v>
      </c>
    </row>
    <row r="653" spans="1:13" x14ac:dyDescent="0.4">
      <c r="A653" s="2" t="s">
        <v>696</v>
      </c>
      <c r="B653" s="2">
        <f>VALUE(REPLACE(CustomerTable[[#This Row],[Ticket]],1,3,""))</f>
        <v>914</v>
      </c>
      <c r="C653" s="2" t="s">
        <v>1024</v>
      </c>
      <c r="D653" s="2" t="s">
        <v>2663</v>
      </c>
      <c r="E653" s="2" t="s">
        <v>405</v>
      </c>
      <c r="F653" s="2" t="s">
        <v>398</v>
      </c>
      <c r="G653" s="2" t="str">
        <f>IF(CustomerTable[[#This Row],[Status]]="RESOLVED","Done",IF(CustomerTable[[#This Row],[Status]]="CLOSED","DONE",IF(CustomerTable[[#This Row],[Status]]="DEFERRED","Done","Pending")))</f>
        <v>Done</v>
      </c>
      <c r="H653" s="2" t="s">
        <v>1029</v>
      </c>
      <c r="I653" s="2" t="s">
        <v>392</v>
      </c>
      <c r="J653" s="2" t="s">
        <v>1682</v>
      </c>
      <c r="K653" s="16">
        <v>46113</v>
      </c>
      <c r="M653" s="16">
        <v>46120</v>
      </c>
    </row>
    <row r="654" spans="1:13" x14ac:dyDescent="0.4">
      <c r="A654" s="2" t="s">
        <v>697</v>
      </c>
      <c r="B654" s="2">
        <f>VALUE(REPLACE(CustomerTable[[#This Row],[Ticket]],1,3,""))</f>
        <v>915</v>
      </c>
      <c r="C654" s="2" t="s">
        <v>1023</v>
      </c>
      <c r="D654" s="2" t="s">
        <v>2664</v>
      </c>
      <c r="E654" s="2" t="s">
        <v>399</v>
      </c>
      <c r="F654" s="2" t="s">
        <v>398</v>
      </c>
      <c r="G654" s="2" t="str">
        <f>IF(CustomerTable[[#This Row],[Status]]="RESOLVED","Done",IF(CustomerTable[[#This Row],[Status]]="CLOSED","DONE",IF(CustomerTable[[#This Row],[Status]]="DEFERRED","Done","Pending")))</f>
        <v>Done</v>
      </c>
      <c r="H654" s="2" t="s">
        <v>1028</v>
      </c>
      <c r="I654" s="2" t="s">
        <v>392</v>
      </c>
      <c r="J654" s="2" t="s">
        <v>1683</v>
      </c>
      <c r="K654" s="16">
        <v>46114</v>
      </c>
      <c r="M654" s="16">
        <v>46132</v>
      </c>
    </row>
    <row r="655" spans="1:13" x14ac:dyDescent="0.4">
      <c r="A655" s="2" t="s">
        <v>698</v>
      </c>
      <c r="B655" s="2">
        <f>VALUE(REPLACE(CustomerTable[[#This Row],[Ticket]],1,3,""))</f>
        <v>916</v>
      </c>
      <c r="C655" s="2" t="s">
        <v>1023</v>
      </c>
      <c r="D655" s="2" t="s">
        <v>2665</v>
      </c>
      <c r="E655" s="2" t="s">
        <v>400</v>
      </c>
      <c r="F655" s="2" t="s">
        <v>398</v>
      </c>
      <c r="G655" s="2" t="str">
        <f>IF(CustomerTable[[#This Row],[Status]]="RESOLVED","Done",IF(CustomerTable[[#This Row],[Status]]="CLOSED","DONE",IF(CustomerTable[[#This Row],[Status]]="DEFERRED","Done","Pending")))</f>
        <v>Done</v>
      </c>
      <c r="H655" s="2" t="s">
        <v>1028</v>
      </c>
      <c r="I655" s="2" t="s">
        <v>392</v>
      </c>
      <c r="J655" s="2" t="s">
        <v>1684</v>
      </c>
      <c r="K655" s="16">
        <v>46114</v>
      </c>
      <c r="M655" s="16">
        <v>46135</v>
      </c>
    </row>
    <row r="656" spans="1:13" x14ac:dyDescent="0.4">
      <c r="A656" s="2" t="s">
        <v>699</v>
      </c>
      <c r="B656" s="2">
        <f>VALUE(REPLACE(CustomerTable[[#This Row],[Ticket]],1,3,""))</f>
        <v>917</v>
      </c>
      <c r="C656" s="2" t="s">
        <v>1023</v>
      </c>
      <c r="D656" s="2" t="s">
        <v>2666</v>
      </c>
      <c r="E656" s="2" t="s">
        <v>399</v>
      </c>
      <c r="F656" s="2" t="s">
        <v>398</v>
      </c>
      <c r="G656" s="2" t="str">
        <f>IF(CustomerTable[[#This Row],[Status]]="RESOLVED","Done",IF(CustomerTable[[#This Row],[Status]]="CLOSED","DONE",IF(CustomerTable[[#This Row],[Status]]="DEFERRED","Done","Pending")))</f>
        <v>Done</v>
      </c>
      <c r="H656" s="2" t="s">
        <v>1028</v>
      </c>
      <c r="I656" s="2" t="s">
        <v>393</v>
      </c>
      <c r="J656" s="2" t="s">
        <v>1685</v>
      </c>
      <c r="K656" s="16">
        <v>46114</v>
      </c>
      <c r="M656" s="16">
        <v>46120</v>
      </c>
    </row>
    <row r="657" spans="1:13" x14ac:dyDescent="0.4">
      <c r="A657" s="2" t="s">
        <v>700</v>
      </c>
      <c r="B657" s="2">
        <f>VALUE(REPLACE(CustomerTable[[#This Row],[Ticket]],1,3,""))</f>
        <v>918</v>
      </c>
      <c r="C657" s="2" t="s">
        <v>1023</v>
      </c>
      <c r="D657" s="2" t="s">
        <v>2667</v>
      </c>
      <c r="E657" s="2" t="s">
        <v>405</v>
      </c>
      <c r="F657" s="2" t="s">
        <v>413</v>
      </c>
      <c r="G657" s="2" t="str">
        <f>IF(CustomerTable[[#This Row],[Status]]="RESOLVED","Done",IF(CustomerTable[[#This Row],[Status]]="CLOSED","DONE",IF(CustomerTable[[#This Row],[Status]]="DEFERRED","Done","Pending")))</f>
        <v>DONE</v>
      </c>
      <c r="H657" s="2" t="s">
        <v>1028</v>
      </c>
      <c r="I657" s="2" t="s">
        <v>389</v>
      </c>
      <c r="J657" s="2" t="s">
        <v>1686</v>
      </c>
      <c r="K657" s="16">
        <v>46114</v>
      </c>
      <c r="M657" s="16"/>
    </row>
    <row r="658" spans="1:13" x14ac:dyDescent="0.4">
      <c r="A658" s="2" t="s">
        <v>701</v>
      </c>
      <c r="B658" s="2">
        <f>VALUE(REPLACE(CustomerTable[[#This Row],[Ticket]],1,3,""))</f>
        <v>919</v>
      </c>
      <c r="C658" s="2" t="s">
        <v>1024</v>
      </c>
      <c r="D658" s="2" t="s">
        <v>2668</v>
      </c>
      <c r="E658" s="2" t="s">
        <v>400</v>
      </c>
      <c r="F658" s="2" t="s">
        <v>398</v>
      </c>
      <c r="G658" s="2" t="str">
        <f>IF(CustomerTable[[#This Row],[Status]]="RESOLVED","Done",IF(CustomerTable[[#This Row],[Status]]="CLOSED","DONE",IF(CustomerTable[[#This Row],[Status]]="DEFERRED","Done","Pending")))</f>
        <v>Done</v>
      </c>
      <c r="H658" s="2" t="s">
        <v>1029</v>
      </c>
      <c r="I658" s="2" t="s">
        <v>395</v>
      </c>
      <c r="J658" s="2" t="s">
        <v>1687</v>
      </c>
      <c r="K658" s="16">
        <v>46114</v>
      </c>
      <c r="M658" s="16">
        <v>46126</v>
      </c>
    </row>
    <row r="659" spans="1:13" x14ac:dyDescent="0.4">
      <c r="A659" s="2" t="s">
        <v>702</v>
      </c>
      <c r="B659" s="2">
        <f>VALUE(REPLACE(CustomerTable[[#This Row],[Ticket]],1,3,""))</f>
        <v>920</v>
      </c>
      <c r="C659" s="2" t="s">
        <v>1023</v>
      </c>
      <c r="D659" s="2" t="s">
        <v>2669</v>
      </c>
      <c r="E659" s="2" t="s">
        <v>405</v>
      </c>
      <c r="F659" s="2" t="s">
        <v>398</v>
      </c>
      <c r="G659" s="2" t="str">
        <f>IF(CustomerTable[[#This Row],[Status]]="RESOLVED","Done",IF(CustomerTable[[#This Row],[Status]]="CLOSED","DONE",IF(CustomerTable[[#This Row],[Status]]="DEFERRED","Done","Pending")))</f>
        <v>Done</v>
      </c>
      <c r="H659" s="2" t="s">
        <v>1034</v>
      </c>
      <c r="I659" s="2" t="s">
        <v>392</v>
      </c>
      <c r="J659" s="2" t="s">
        <v>1688</v>
      </c>
      <c r="K659" s="16">
        <v>46114</v>
      </c>
      <c r="M659" s="16">
        <v>46133</v>
      </c>
    </row>
    <row r="660" spans="1:13" x14ac:dyDescent="0.4">
      <c r="A660" s="2" t="s">
        <v>703</v>
      </c>
      <c r="B660" s="2">
        <f>VALUE(REPLACE(CustomerTable[[#This Row],[Ticket]],1,3,""))</f>
        <v>921</v>
      </c>
      <c r="C660" s="2" t="s">
        <v>1023</v>
      </c>
      <c r="D660" s="2" t="s">
        <v>2670</v>
      </c>
      <c r="E660" s="2" t="s">
        <v>405</v>
      </c>
      <c r="F660" s="2" t="s">
        <v>398</v>
      </c>
      <c r="G660" s="2" t="str">
        <f>IF(CustomerTable[[#This Row],[Status]]="RESOLVED","Done",IF(CustomerTable[[#This Row],[Status]]="CLOSED","DONE",IF(CustomerTable[[#This Row],[Status]]="DEFERRED","Done","Pending")))</f>
        <v>Done</v>
      </c>
      <c r="H660" s="2" t="s">
        <v>1028</v>
      </c>
      <c r="I660" s="2" t="s">
        <v>389</v>
      </c>
      <c r="J660" s="2" t="s">
        <v>1689</v>
      </c>
      <c r="K660" s="16">
        <v>46114</v>
      </c>
      <c r="M660" s="16">
        <v>46120</v>
      </c>
    </row>
    <row r="661" spans="1:13" x14ac:dyDescent="0.4">
      <c r="A661" s="2" t="s">
        <v>704</v>
      </c>
      <c r="B661" s="2">
        <f>VALUE(REPLACE(CustomerTable[[#This Row],[Ticket]],1,3,""))</f>
        <v>922</v>
      </c>
      <c r="C661" s="2" t="s">
        <v>1023</v>
      </c>
      <c r="D661" s="2" t="s">
        <v>2671</v>
      </c>
      <c r="E661" s="2" t="s">
        <v>399</v>
      </c>
      <c r="F661" s="2" t="s">
        <v>398</v>
      </c>
      <c r="G661" s="2" t="str">
        <f>IF(CustomerTable[[#This Row],[Status]]="RESOLVED","Done",IF(CustomerTable[[#This Row],[Status]]="CLOSED","DONE",IF(CustomerTable[[#This Row],[Status]]="DEFERRED","Done","Pending")))</f>
        <v>Done</v>
      </c>
      <c r="H661" s="2" t="s">
        <v>1028</v>
      </c>
      <c r="I661" s="2" t="s">
        <v>389</v>
      </c>
      <c r="J661" s="2" t="s">
        <v>1690</v>
      </c>
      <c r="K661" s="16">
        <v>46118</v>
      </c>
      <c r="M661" s="16">
        <v>46160</v>
      </c>
    </row>
    <row r="662" spans="1:13" x14ac:dyDescent="0.4">
      <c r="A662" s="2" t="s">
        <v>705</v>
      </c>
      <c r="B662" s="2">
        <f>VALUE(REPLACE(CustomerTable[[#This Row],[Ticket]],1,3,""))</f>
        <v>923</v>
      </c>
      <c r="C662" s="2" t="s">
        <v>1023</v>
      </c>
      <c r="D662" s="2" t="s">
        <v>2672</v>
      </c>
      <c r="E662" s="2" t="s">
        <v>399</v>
      </c>
      <c r="F662" s="2" t="s">
        <v>413</v>
      </c>
      <c r="G662" s="2" t="str">
        <f>IF(CustomerTable[[#This Row],[Status]]="RESOLVED","Done",IF(CustomerTable[[#This Row],[Status]]="CLOSED","DONE",IF(CustomerTable[[#This Row],[Status]]="DEFERRED","Done","Pending")))</f>
        <v>DONE</v>
      </c>
      <c r="H662" s="2" t="s">
        <v>1028</v>
      </c>
      <c r="I662" s="2" t="s">
        <v>389</v>
      </c>
      <c r="J662" s="2" t="s">
        <v>1691</v>
      </c>
      <c r="K662" s="16">
        <v>46118</v>
      </c>
      <c r="M662" s="16"/>
    </row>
    <row r="663" spans="1:13" x14ac:dyDescent="0.4">
      <c r="A663" s="2" t="s">
        <v>706</v>
      </c>
      <c r="B663" s="2">
        <f>VALUE(REPLACE(CustomerTable[[#This Row],[Ticket]],1,3,""))</f>
        <v>924</v>
      </c>
      <c r="C663" s="2" t="s">
        <v>1023</v>
      </c>
      <c r="D663" s="2" t="s">
        <v>2673</v>
      </c>
      <c r="E663" s="2" t="s">
        <v>399</v>
      </c>
      <c r="F663" s="2" t="s">
        <v>398</v>
      </c>
      <c r="G663" s="2" t="str">
        <f>IF(CustomerTable[[#This Row],[Status]]="RESOLVED","Done",IF(CustomerTable[[#This Row],[Status]]="CLOSED","DONE",IF(CustomerTable[[#This Row],[Status]]="DEFERRED","Done","Pending")))</f>
        <v>Done</v>
      </c>
      <c r="H663" s="2" t="s">
        <v>1028</v>
      </c>
      <c r="I663" s="2" t="s">
        <v>395</v>
      </c>
      <c r="J663" s="2" t="s">
        <v>1692</v>
      </c>
      <c r="K663" s="16">
        <v>46118</v>
      </c>
      <c r="M663" s="16">
        <v>46132</v>
      </c>
    </row>
    <row r="664" spans="1:13" x14ac:dyDescent="0.4">
      <c r="A664" s="2" t="s">
        <v>707</v>
      </c>
      <c r="B664" s="2">
        <f>VALUE(REPLACE(CustomerTable[[#This Row],[Ticket]],1,3,""))</f>
        <v>925</v>
      </c>
      <c r="C664" s="2" t="s">
        <v>1023</v>
      </c>
      <c r="D664" s="2" t="s">
        <v>2674</v>
      </c>
      <c r="E664" s="2" t="s">
        <v>400</v>
      </c>
      <c r="F664" s="2" t="s">
        <v>398</v>
      </c>
      <c r="G664" s="2" t="str">
        <f>IF(CustomerTable[[#This Row],[Status]]="RESOLVED","Done",IF(CustomerTable[[#This Row],[Status]]="CLOSED","DONE",IF(CustomerTable[[#This Row],[Status]]="DEFERRED","Done","Pending")))</f>
        <v>Done</v>
      </c>
      <c r="H664" s="2" t="s">
        <v>11</v>
      </c>
      <c r="I664" s="2" t="s">
        <v>390</v>
      </c>
      <c r="J664" s="2" t="s">
        <v>1693</v>
      </c>
      <c r="K664" s="16">
        <v>46118</v>
      </c>
      <c r="M664" s="16">
        <v>46118</v>
      </c>
    </row>
    <row r="665" spans="1:13" x14ac:dyDescent="0.4">
      <c r="A665" s="2" t="s">
        <v>708</v>
      </c>
      <c r="B665" s="2">
        <f>VALUE(REPLACE(CustomerTable[[#This Row],[Ticket]],1,3,""))</f>
        <v>926</v>
      </c>
      <c r="C665" s="2" t="s">
        <v>1023</v>
      </c>
      <c r="D665" s="2" t="s">
        <v>2675</v>
      </c>
      <c r="E665" s="2" t="s">
        <v>405</v>
      </c>
      <c r="F665" s="2" t="s">
        <v>398</v>
      </c>
      <c r="G665" s="2" t="str">
        <f>IF(CustomerTable[[#This Row],[Status]]="RESOLVED","Done",IF(CustomerTable[[#This Row],[Status]]="CLOSED","DONE",IF(CustomerTable[[#This Row],[Status]]="DEFERRED","Done","Pending")))</f>
        <v>Done</v>
      </c>
      <c r="H665" s="2" t="s">
        <v>11</v>
      </c>
      <c r="I665" s="2" t="s">
        <v>394</v>
      </c>
      <c r="J665" s="2" t="s">
        <v>1694</v>
      </c>
      <c r="K665" s="16">
        <v>46119</v>
      </c>
      <c r="M665" s="16">
        <v>46126</v>
      </c>
    </row>
    <row r="666" spans="1:13" x14ac:dyDescent="0.4">
      <c r="A666" s="2" t="s">
        <v>709</v>
      </c>
      <c r="B666" s="2">
        <f>VALUE(REPLACE(CustomerTable[[#This Row],[Ticket]],1,3,""))</f>
        <v>927</v>
      </c>
      <c r="C666" s="2" t="s">
        <v>1023</v>
      </c>
      <c r="D666" s="2" t="s">
        <v>2676</v>
      </c>
      <c r="E666" s="2" t="s">
        <v>405</v>
      </c>
      <c r="F666" s="2" t="s">
        <v>398</v>
      </c>
      <c r="G666" s="2" t="str">
        <f>IF(CustomerTable[[#This Row],[Status]]="RESOLVED","Done",IF(CustomerTable[[#This Row],[Status]]="CLOSED","DONE",IF(CustomerTable[[#This Row],[Status]]="DEFERRED","Done","Pending")))</f>
        <v>Done</v>
      </c>
      <c r="H666" s="2" t="s">
        <v>11</v>
      </c>
      <c r="I666" s="2" t="s">
        <v>394</v>
      </c>
      <c r="J666" s="2" t="s">
        <v>1695</v>
      </c>
      <c r="K666" s="16">
        <v>46119</v>
      </c>
      <c r="M666" s="16">
        <v>46121</v>
      </c>
    </row>
    <row r="667" spans="1:13" x14ac:dyDescent="0.4">
      <c r="A667" s="2" t="s">
        <v>710</v>
      </c>
      <c r="B667" s="2">
        <f>VALUE(REPLACE(CustomerTable[[#This Row],[Ticket]],1,3,""))</f>
        <v>928</v>
      </c>
      <c r="C667" s="2" t="s">
        <v>1023</v>
      </c>
      <c r="D667" s="2" t="s">
        <v>2677</v>
      </c>
      <c r="E667" s="2" t="s">
        <v>399</v>
      </c>
      <c r="F667" s="2" t="s">
        <v>398</v>
      </c>
      <c r="G667" s="2" t="str">
        <f>IF(CustomerTable[[#This Row],[Status]]="RESOLVED","Done",IF(CustomerTable[[#This Row],[Status]]="CLOSED","DONE",IF(CustomerTable[[#This Row],[Status]]="DEFERRED","Done","Pending")))</f>
        <v>Done</v>
      </c>
      <c r="H667" s="2" t="s">
        <v>1028</v>
      </c>
      <c r="I667" s="2" t="s">
        <v>395</v>
      </c>
      <c r="J667" s="2" t="s">
        <v>1696</v>
      </c>
      <c r="K667" s="16">
        <v>46119</v>
      </c>
      <c r="M667" s="16">
        <v>46125</v>
      </c>
    </row>
    <row r="668" spans="1:13" x14ac:dyDescent="0.4">
      <c r="A668" s="2" t="s">
        <v>711</v>
      </c>
      <c r="B668" s="2">
        <f>VALUE(REPLACE(CustomerTable[[#This Row],[Ticket]],1,3,""))</f>
        <v>929</v>
      </c>
      <c r="C668" s="2" t="s">
        <v>1023</v>
      </c>
      <c r="D668" s="2" t="s">
        <v>2678</v>
      </c>
      <c r="E668" s="2" t="s">
        <v>399</v>
      </c>
      <c r="F668" s="2" t="s">
        <v>398</v>
      </c>
      <c r="G668" s="2" t="str">
        <f>IF(CustomerTable[[#This Row],[Status]]="RESOLVED","Done",IF(CustomerTable[[#This Row],[Status]]="CLOSED","DONE",IF(CustomerTable[[#This Row],[Status]]="DEFERRED","Done","Pending")))</f>
        <v>Done</v>
      </c>
      <c r="H668" s="2" t="s">
        <v>11</v>
      </c>
      <c r="I668" s="2" t="s">
        <v>393</v>
      </c>
      <c r="J668" s="2" t="s">
        <v>1697</v>
      </c>
      <c r="K668" s="16">
        <v>46119</v>
      </c>
      <c r="M668" s="16">
        <v>46146</v>
      </c>
    </row>
    <row r="669" spans="1:13" x14ac:dyDescent="0.4">
      <c r="A669" s="2" t="s">
        <v>712</v>
      </c>
      <c r="B669" s="2">
        <f>VALUE(REPLACE(CustomerTable[[#This Row],[Ticket]],1,3,""))</f>
        <v>930</v>
      </c>
      <c r="C669" s="2" t="s">
        <v>1023</v>
      </c>
      <c r="D669" s="2" t="s">
        <v>2679</v>
      </c>
      <c r="E669" s="2" t="s">
        <v>405</v>
      </c>
      <c r="F669" s="2" t="s">
        <v>398</v>
      </c>
      <c r="G669" s="2" t="str">
        <f>IF(CustomerTable[[#This Row],[Status]]="RESOLVED","Done",IF(CustomerTable[[#This Row],[Status]]="CLOSED","DONE",IF(CustomerTable[[#This Row],[Status]]="DEFERRED","Done","Pending")))</f>
        <v>Done</v>
      </c>
      <c r="H669" s="2" t="s">
        <v>11</v>
      </c>
      <c r="I669" s="2" t="s">
        <v>394</v>
      </c>
      <c r="J669" s="2" t="s">
        <v>1698</v>
      </c>
      <c r="K669" s="16">
        <v>46119</v>
      </c>
      <c r="M669" s="16">
        <v>46119</v>
      </c>
    </row>
    <row r="670" spans="1:13" x14ac:dyDescent="0.4">
      <c r="A670" s="2" t="s">
        <v>713</v>
      </c>
      <c r="B670" s="2">
        <f>VALUE(REPLACE(CustomerTable[[#This Row],[Ticket]],1,3,""))</f>
        <v>931</v>
      </c>
      <c r="C670" s="2" t="s">
        <v>1023</v>
      </c>
      <c r="D670" s="2" t="s">
        <v>2680</v>
      </c>
      <c r="E670" s="2" t="s">
        <v>405</v>
      </c>
      <c r="F670" s="2" t="s">
        <v>398</v>
      </c>
      <c r="G670" s="2" t="str">
        <f>IF(CustomerTable[[#This Row],[Status]]="RESOLVED","Done",IF(CustomerTable[[#This Row],[Status]]="CLOSED","DONE",IF(CustomerTable[[#This Row],[Status]]="DEFERRED","Done","Pending")))</f>
        <v>Done</v>
      </c>
      <c r="H670" s="2" t="s">
        <v>11</v>
      </c>
      <c r="I670" s="2" t="s">
        <v>390</v>
      </c>
      <c r="J670" s="2" t="s">
        <v>1699</v>
      </c>
      <c r="K670" s="16">
        <v>46119</v>
      </c>
      <c r="M670" s="16">
        <v>46122</v>
      </c>
    </row>
    <row r="671" spans="1:13" x14ac:dyDescent="0.4">
      <c r="A671" s="2" t="s">
        <v>714</v>
      </c>
      <c r="B671" s="2">
        <f>VALUE(REPLACE(CustomerTable[[#This Row],[Ticket]],1,3,""))</f>
        <v>932</v>
      </c>
      <c r="C671" s="2" t="s">
        <v>1023</v>
      </c>
      <c r="D671" s="2" t="s">
        <v>2681</v>
      </c>
      <c r="E671" s="2" t="s">
        <v>399</v>
      </c>
      <c r="F671" s="2" t="s">
        <v>398</v>
      </c>
      <c r="G671" s="2" t="str">
        <f>IF(CustomerTable[[#This Row],[Status]]="RESOLVED","Done",IF(CustomerTable[[#This Row],[Status]]="CLOSED","DONE",IF(CustomerTable[[#This Row],[Status]]="DEFERRED","Done","Pending")))</f>
        <v>Done</v>
      </c>
      <c r="H671" s="2" t="s">
        <v>11</v>
      </c>
      <c r="I671" s="2" t="s">
        <v>394</v>
      </c>
      <c r="J671" s="2" t="s">
        <v>1700</v>
      </c>
      <c r="K671" s="16">
        <v>46119</v>
      </c>
      <c r="M671" s="16">
        <v>46119</v>
      </c>
    </row>
    <row r="672" spans="1:13" x14ac:dyDescent="0.4">
      <c r="A672" s="2" t="s">
        <v>715</v>
      </c>
      <c r="B672" s="2">
        <f>VALUE(REPLACE(CustomerTable[[#This Row],[Ticket]],1,3,""))</f>
        <v>933</v>
      </c>
      <c r="C672" s="2" t="s">
        <v>1023</v>
      </c>
      <c r="D672" s="2" t="s">
        <v>2682</v>
      </c>
      <c r="E672" s="2" t="s">
        <v>399</v>
      </c>
      <c r="F672" s="2" t="s">
        <v>398</v>
      </c>
      <c r="G672" s="2" t="str">
        <f>IF(CustomerTable[[#This Row],[Status]]="RESOLVED","Done",IF(CustomerTable[[#This Row],[Status]]="CLOSED","DONE",IF(CustomerTable[[#This Row],[Status]]="DEFERRED","Done","Pending")))</f>
        <v>Done</v>
      </c>
      <c r="H672" s="2" t="s">
        <v>11</v>
      </c>
      <c r="I672" s="2" t="s">
        <v>394</v>
      </c>
      <c r="J672" s="2" t="s">
        <v>1701</v>
      </c>
      <c r="K672" s="16">
        <v>46119</v>
      </c>
      <c r="M672" s="16">
        <v>46119</v>
      </c>
    </row>
    <row r="673" spans="1:13" x14ac:dyDescent="0.4">
      <c r="A673" s="2" t="s">
        <v>716</v>
      </c>
      <c r="B673" s="2">
        <f>VALUE(REPLACE(CustomerTable[[#This Row],[Ticket]],1,3,""))</f>
        <v>934</v>
      </c>
      <c r="C673" s="2" t="s">
        <v>1023</v>
      </c>
      <c r="D673" s="2" t="s">
        <v>2683</v>
      </c>
      <c r="E673" s="2" t="s">
        <v>400</v>
      </c>
      <c r="F673" s="2" t="s">
        <v>398</v>
      </c>
      <c r="G673" s="2" t="str">
        <f>IF(CustomerTable[[#This Row],[Status]]="RESOLVED","Done",IF(CustomerTable[[#This Row],[Status]]="CLOSED","DONE",IF(CustomerTable[[#This Row],[Status]]="DEFERRED","Done","Pending")))</f>
        <v>Done</v>
      </c>
      <c r="H673" s="2" t="s">
        <v>1028</v>
      </c>
      <c r="I673" s="2" t="s">
        <v>390</v>
      </c>
      <c r="J673" s="2" t="s">
        <v>1702</v>
      </c>
      <c r="K673" s="16">
        <v>46121</v>
      </c>
      <c r="M673" s="16">
        <v>46133</v>
      </c>
    </row>
    <row r="674" spans="1:13" x14ac:dyDescent="0.4">
      <c r="A674" s="2" t="s">
        <v>717</v>
      </c>
      <c r="B674" s="2">
        <f>VALUE(REPLACE(CustomerTable[[#This Row],[Ticket]],1,3,""))</f>
        <v>935</v>
      </c>
      <c r="C674" s="2" t="s">
        <v>1023</v>
      </c>
      <c r="D674" s="2" t="s">
        <v>2684</v>
      </c>
      <c r="E674" s="2" t="s">
        <v>400</v>
      </c>
      <c r="F674" s="2" t="s">
        <v>398</v>
      </c>
      <c r="G674" s="2" t="str">
        <f>IF(CustomerTable[[#This Row],[Status]]="RESOLVED","Done",IF(CustomerTable[[#This Row],[Status]]="CLOSED","DONE",IF(CustomerTable[[#This Row],[Status]]="DEFERRED","Done","Pending")))</f>
        <v>Done</v>
      </c>
      <c r="H674" s="2" t="s">
        <v>1028</v>
      </c>
      <c r="I674" s="2" t="s">
        <v>391</v>
      </c>
      <c r="J674" s="2" t="s">
        <v>1703</v>
      </c>
      <c r="K674" s="16">
        <v>46121</v>
      </c>
      <c r="M674" s="16">
        <v>46139</v>
      </c>
    </row>
    <row r="675" spans="1:13" x14ac:dyDescent="0.4">
      <c r="A675" s="2" t="s">
        <v>718</v>
      </c>
      <c r="B675" s="2">
        <f>VALUE(REPLACE(CustomerTable[[#This Row],[Ticket]],1,3,""))</f>
        <v>936</v>
      </c>
      <c r="C675" s="2" t="s">
        <v>1023</v>
      </c>
      <c r="D675" s="2" t="s">
        <v>2685</v>
      </c>
      <c r="E675" s="2" t="s">
        <v>405</v>
      </c>
      <c r="F675" s="2" t="s">
        <v>398</v>
      </c>
      <c r="G675" s="2" t="str">
        <f>IF(CustomerTable[[#This Row],[Status]]="RESOLVED","Done",IF(CustomerTable[[#This Row],[Status]]="CLOSED","DONE",IF(CustomerTable[[#This Row],[Status]]="DEFERRED","Done","Pending")))</f>
        <v>Done</v>
      </c>
      <c r="H675" s="2" t="s">
        <v>1028</v>
      </c>
      <c r="I675" s="2" t="s">
        <v>390</v>
      </c>
      <c r="J675" s="2" t="s">
        <v>1704</v>
      </c>
      <c r="K675" s="16">
        <v>46121</v>
      </c>
      <c r="M675" s="16">
        <v>46132</v>
      </c>
    </row>
    <row r="676" spans="1:13" x14ac:dyDescent="0.4">
      <c r="A676" s="2" t="s">
        <v>719</v>
      </c>
      <c r="B676" s="2">
        <f>VALUE(REPLACE(CustomerTable[[#This Row],[Ticket]],1,3,""))</f>
        <v>937</v>
      </c>
      <c r="C676" s="2" t="s">
        <v>1023</v>
      </c>
      <c r="D676" s="2" t="s">
        <v>2686</v>
      </c>
      <c r="E676" s="2" t="s">
        <v>399</v>
      </c>
      <c r="F676" s="2" t="s">
        <v>398</v>
      </c>
      <c r="G676" s="2" t="str">
        <f>IF(CustomerTable[[#This Row],[Status]]="RESOLVED","Done",IF(CustomerTable[[#This Row],[Status]]="CLOSED","DONE",IF(CustomerTable[[#This Row],[Status]]="DEFERRED","Done","Pending")))</f>
        <v>Done</v>
      </c>
      <c r="H676" s="2" t="s">
        <v>1028</v>
      </c>
      <c r="I676" s="2" t="s">
        <v>389</v>
      </c>
      <c r="J676" s="2" t="s">
        <v>1705</v>
      </c>
      <c r="K676" s="16">
        <v>46121</v>
      </c>
      <c r="M676" s="16">
        <v>46121</v>
      </c>
    </row>
    <row r="677" spans="1:13" x14ac:dyDescent="0.4">
      <c r="A677" s="2" t="s">
        <v>720</v>
      </c>
      <c r="B677" s="2">
        <f>VALUE(REPLACE(CustomerTable[[#This Row],[Ticket]],1,3,""))</f>
        <v>938</v>
      </c>
      <c r="C677" s="2" t="s">
        <v>1024</v>
      </c>
      <c r="D677" s="2" t="s">
        <v>2687</v>
      </c>
      <c r="E677" s="2" t="s">
        <v>400</v>
      </c>
      <c r="F677" s="2" t="s">
        <v>398</v>
      </c>
      <c r="G677" s="2" t="str">
        <f>IF(CustomerTable[[#This Row],[Status]]="RESOLVED","Done",IF(CustomerTable[[#This Row],[Status]]="CLOSED","DONE",IF(CustomerTable[[#This Row],[Status]]="DEFERRED","Done","Pending")))</f>
        <v>Done</v>
      </c>
      <c r="H677" s="2" t="s">
        <v>1034</v>
      </c>
      <c r="I677" s="2" t="s">
        <v>395</v>
      </c>
      <c r="J677" s="2" t="s">
        <v>1706</v>
      </c>
      <c r="K677" s="16">
        <v>46121</v>
      </c>
      <c r="M677" s="16">
        <v>46128</v>
      </c>
    </row>
    <row r="678" spans="1:13" x14ac:dyDescent="0.4">
      <c r="A678" s="2" t="s">
        <v>721</v>
      </c>
      <c r="B678" s="2">
        <f>VALUE(REPLACE(CustomerTable[[#This Row],[Ticket]],1,3,""))</f>
        <v>939</v>
      </c>
      <c r="C678" s="2" t="s">
        <v>1023</v>
      </c>
      <c r="D678" s="2" t="s">
        <v>2688</v>
      </c>
      <c r="E678" s="2" t="s">
        <v>405</v>
      </c>
      <c r="F678" s="2" t="s">
        <v>398</v>
      </c>
      <c r="G678" s="2" t="str">
        <f>IF(CustomerTable[[#This Row],[Status]]="RESOLVED","Done",IF(CustomerTable[[#This Row],[Status]]="CLOSED","DONE",IF(CustomerTable[[#This Row],[Status]]="DEFERRED","Done","Pending")))</f>
        <v>Done</v>
      </c>
      <c r="H678" s="2" t="s">
        <v>1028</v>
      </c>
      <c r="I678" s="2" t="s">
        <v>394</v>
      </c>
      <c r="J678" s="2" t="s">
        <v>1707</v>
      </c>
      <c r="K678" s="16">
        <v>46121</v>
      </c>
      <c r="M678" s="16">
        <v>46125</v>
      </c>
    </row>
    <row r="679" spans="1:13" x14ac:dyDescent="0.4">
      <c r="A679" s="2" t="s">
        <v>722</v>
      </c>
      <c r="B679" s="2">
        <f>VALUE(REPLACE(CustomerTable[[#This Row],[Ticket]],1,3,""))</f>
        <v>940</v>
      </c>
      <c r="C679" s="2" t="s">
        <v>1023</v>
      </c>
      <c r="D679" s="2" t="s">
        <v>2689</v>
      </c>
      <c r="E679" s="2" t="s">
        <v>405</v>
      </c>
      <c r="F679" s="2" t="s">
        <v>398</v>
      </c>
      <c r="G679" s="2" t="str">
        <f>IF(CustomerTable[[#This Row],[Status]]="RESOLVED","Done",IF(CustomerTable[[#This Row],[Status]]="CLOSED","DONE",IF(CustomerTable[[#This Row],[Status]]="DEFERRED","Done","Pending")))</f>
        <v>Done</v>
      </c>
      <c r="H679" s="2" t="s">
        <v>1028</v>
      </c>
      <c r="I679" s="2" t="s">
        <v>392</v>
      </c>
      <c r="J679" s="2" t="s">
        <v>1708</v>
      </c>
      <c r="K679" s="16">
        <v>46121</v>
      </c>
      <c r="M679" s="16">
        <v>46122</v>
      </c>
    </row>
    <row r="680" spans="1:13" x14ac:dyDescent="0.4">
      <c r="A680" s="2" t="s">
        <v>723</v>
      </c>
      <c r="B680" s="2">
        <f>VALUE(REPLACE(CustomerTable[[#This Row],[Ticket]],1,3,""))</f>
        <v>941</v>
      </c>
      <c r="C680" s="2" t="s">
        <v>1023</v>
      </c>
      <c r="D680" s="2" t="s">
        <v>2690</v>
      </c>
      <c r="E680" s="2" t="s">
        <v>405</v>
      </c>
      <c r="F680" s="2" t="s">
        <v>398</v>
      </c>
      <c r="G680" s="2" t="str">
        <f>IF(CustomerTable[[#This Row],[Status]]="RESOLVED","Done",IF(CustomerTable[[#This Row],[Status]]="CLOSED","DONE",IF(CustomerTable[[#This Row],[Status]]="DEFERRED","Done","Pending")))</f>
        <v>Done</v>
      </c>
      <c r="H680" s="2" t="s">
        <v>1028</v>
      </c>
      <c r="I680" s="2" t="s">
        <v>390</v>
      </c>
      <c r="J680" s="2" t="s">
        <v>1709</v>
      </c>
      <c r="K680" s="16">
        <v>46121</v>
      </c>
      <c r="M680" s="16">
        <v>46129</v>
      </c>
    </row>
    <row r="681" spans="1:13" x14ac:dyDescent="0.4">
      <c r="A681" s="2" t="s">
        <v>724</v>
      </c>
      <c r="B681" s="2">
        <f>VALUE(REPLACE(CustomerTable[[#This Row],[Ticket]],1,3,""))</f>
        <v>942</v>
      </c>
      <c r="C681" s="2" t="s">
        <v>1023</v>
      </c>
      <c r="D681" s="2" t="s">
        <v>2691</v>
      </c>
      <c r="E681" s="2" t="s">
        <v>405</v>
      </c>
      <c r="F681" s="2" t="s">
        <v>398</v>
      </c>
      <c r="G681" s="2" t="str">
        <f>IF(CustomerTable[[#This Row],[Status]]="RESOLVED","Done",IF(CustomerTable[[#This Row],[Status]]="CLOSED","DONE",IF(CustomerTable[[#This Row],[Status]]="DEFERRED","Done","Pending")))</f>
        <v>Done</v>
      </c>
      <c r="H681" s="2" t="s">
        <v>1028</v>
      </c>
      <c r="I681" s="2" t="s">
        <v>394</v>
      </c>
      <c r="J681" s="2" t="s">
        <v>1710</v>
      </c>
      <c r="K681" s="16">
        <v>46121</v>
      </c>
      <c r="M681" s="16">
        <v>46127</v>
      </c>
    </row>
    <row r="682" spans="1:13" x14ac:dyDescent="0.4">
      <c r="A682" s="2" t="s">
        <v>725</v>
      </c>
      <c r="B682" s="2">
        <f>VALUE(REPLACE(CustomerTable[[#This Row],[Ticket]],1,3,""))</f>
        <v>943</v>
      </c>
      <c r="C682" s="2" t="s">
        <v>1023</v>
      </c>
      <c r="D682" s="2" t="s">
        <v>2692</v>
      </c>
      <c r="E682" s="2" t="s">
        <v>399</v>
      </c>
      <c r="F682" s="2" t="s">
        <v>413</v>
      </c>
      <c r="G682" s="2" t="str">
        <f>IF(CustomerTable[[#This Row],[Status]]="RESOLVED","Done",IF(CustomerTable[[#This Row],[Status]]="CLOSED","DONE",IF(CustomerTable[[#This Row],[Status]]="DEFERRED","Done","Pending")))</f>
        <v>DONE</v>
      </c>
      <c r="H682" s="2" t="s">
        <v>1028</v>
      </c>
      <c r="I682" s="2" t="s">
        <v>389</v>
      </c>
      <c r="J682" s="2" t="s">
        <v>1711</v>
      </c>
      <c r="K682" s="16">
        <v>46121</v>
      </c>
      <c r="M682" s="16"/>
    </row>
    <row r="683" spans="1:13" x14ac:dyDescent="0.4">
      <c r="A683" s="2" t="s">
        <v>726</v>
      </c>
      <c r="B683" s="2">
        <f>VALUE(REPLACE(CustomerTable[[#This Row],[Ticket]],1,3,""))</f>
        <v>944</v>
      </c>
      <c r="C683" s="2" t="s">
        <v>1023</v>
      </c>
      <c r="D683" s="2" t="s">
        <v>2693</v>
      </c>
      <c r="E683" s="2" t="s">
        <v>399</v>
      </c>
      <c r="F683" s="2" t="s">
        <v>398</v>
      </c>
      <c r="G683" s="2" t="str">
        <f>IF(CustomerTable[[#This Row],[Status]]="RESOLVED","Done",IF(CustomerTable[[#This Row],[Status]]="CLOSED","DONE",IF(CustomerTable[[#This Row],[Status]]="DEFERRED","Done","Pending")))</f>
        <v>Done</v>
      </c>
      <c r="H683" s="2" t="s">
        <v>11</v>
      </c>
      <c r="I683" s="2" t="s">
        <v>388</v>
      </c>
      <c r="J683" s="2" t="s">
        <v>1712</v>
      </c>
      <c r="K683" s="16">
        <v>46121</v>
      </c>
      <c r="M683" s="16">
        <v>46132</v>
      </c>
    </row>
    <row r="684" spans="1:13" x14ac:dyDescent="0.4">
      <c r="A684" s="2" t="s">
        <v>727</v>
      </c>
      <c r="B684" s="2">
        <f>VALUE(REPLACE(CustomerTable[[#This Row],[Ticket]],1,3,""))</f>
        <v>945</v>
      </c>
      <c r="C684" s="2" t="s">
        <v>1023</v>
      </c>
      <c r="D684" s="2" t="s">
        <v>2694</v>
      </c>
      <c r="E684" s="2" t="s">
        <v>399</v>
      </c>
      <c r="F684" s="2" t="s">
        <v>398</v>
      </c>
      <c r="G684" s="2" t="str">
        <f>IF(CustomerTable[[#This Row],[Status]]="RESOLVED","Done",IF(CustomerTable[[#This Row],[Status]]="CLOSED","DONE",IF(CustomerTable[[#This Row],[Status]]="DEFERRED","Done","Pending")))</f>
        <v>Done</v>
      </c>
      <c r="H684" s="2" t="s">
        <v>1028</v>
      </c>
      <c r="I684" s="2" t="s">
        <v>391</v>
      </c>
      <c r="J684" s="2" t="s">
        <v>1713</v>
      </c>
      <c r="K684" s="16">
        <v>46125</v>
      </c>
      <c r="M684" s="16">
        <v>46126</v>
      </c>
    </row>
    <row r="685" spans="1:13" x14ac:dyDescent="0.4">
      <c r="A685" s="2" t="s">
        <v>728</v>
      </c>
      <c r="B685" s="2">
        <f>VALUE(REPLACE(CustomerTable[[#This Row],[Ticket]],1,3,""))</f>
        <v>946</v>
      </c>
      <c r="C685" s="2" t="s">
        <v>1023</v>
      </c>
      <c r="D685" s="2" t="s">
        <v>2695</v>
      </c>
      <c r="E685" s="2" t="s">
        <v>405</v>
      </c>
      <c r="F685" s="2" t="s">
        <v>398</v>
      </c>
      <c r="G685" s="2" t="str">
        <f>IF(CustomerTable[[#This Row],[Status]]="RESOLVED","Done",IF(CustomerTable[[#This Row],[Status]]="CLOSED","DONE",IF(CustomerTable[[#This Row],[Status]]="DEFERRED","Done","Pending")))</f>
        <v>Done</v>
      </c>
      <c r="H685" s="2" t="s">
        <v>11</v>
      </c>
      <c r="I685" s="2" t="s">
        <v>394</v>
      </c>
      <c r="J685" s="2" t="s">
        <v>1714</v>
      </c>
      <c r="K685" s="16">
        <v>46125</v>
      </c>
      <c r="M685" s="16">
        <v>46125</v>
      </c>
    </row>
    <row r="686" spans="1:13" x14ac:dyDescent="0.4">
      <c r="A686" s="2" t="s">
        <v>729</v>
      </c>
      <c r="B686" s="2">
        <f>VALUE(REPLACE(CustomerTable[[#This Row],[Ticket]],1,3,""))</f>
        <v>947</v>
      </c>
      <c r="C686" s="2" t="s">
        <v>1023</v>
      </c>
      <c r="D686" s="2" t="s">
        <v>2696</v>
      </c>
      <c r="E686" s="2" t="s">
        <v>399</v>
      </c>
      <c r="F686" s="2" t="s">
        <v>398</v>
      </c>
      <c r="G686" s="2" t="str">
        <f>IF(CustomerTable[[#This Row],[Status]]="RESOLVED","Done",IF(CustomerTable[[#This Row],[Status]]="CLOSED","DONE",IF(CustomerTable[[#This Row],[Status]]="DEFERRED","Done","Pending")))</f>
        <v>Done</v>
      </c>
      <c r="H686" s="2" t="s">
        <v>1028</v>
      </c>
      <c r="I686" s="2" t="s">
        <v>391</v>
      </c>
      <c r="J686" s="2" t="s">
        <v>1715</v>
      </c>
      <c r="K686" s="16">
        <v>46125</v>
      </c>
      <c r="M686" s="16">
        <v>46128</v>
      </c>
    </row>
    <row r="687" spans="1:13" x14ac:dyDescent="0.4">
      <c r="A687" s="2" t="s">
        <v>730</v>
      </c>
      <c r="B687" s="2">
        <f>VALUE(REPLACE(CustomerTable[[#This Row],[Ticket]],1,3,""))</f>
        <v>948</v>
      </c>
      <c r="C687" s="2" t="s">
        <v>1023</v>
      </c>
      <c r="D687" s="2" t="s">
        <v>2697</v>
      </c>
      <c r="E687" s="2" t="s">
        <v>399</v>
      </c>
      <c r="F687" s="2" t="s">
        <v>398</v>
      </c>
      <c r="G687" s="2" t="str">
        <f>IF(CustomerTable[[#This Row],[Status]]="RESOLVED","Done",IF(CustomerTable[[#This Row],[Status]]="CLOSED","DONE",IF(CustomerTable[[#This Row],[Status]]="DEFERRED","Done","Pending")))</f>
        <v>Done</v>
      </c>
      <c r="H687" s="2" t="s">
        <v>1028</v>
      </c>
      <c r="I687" s="2" t="s">
        <v>391</v>
      </c>
      <c r="J687" s="2" t="s">
        <v>1716</v>
      </c>
      <c r="K687" s="16">
        <v>46125</v>
      </c>
      <c r="M687" s="16">
        <v>46126</v>
      </c>
    </row>
    <row r="688" spans="1:13" x14ac:dyDescent="0.4">
      <c r="A688" s="2" t="s">
        <v>731</v>
      </c>
      <c r="B688" s="2">
        <f>VALUE(REPLACE(CustomerTable[[#This Row],[Ticket]],1,3,""))</f>
        <v>949</v>
      </c>
      <c r="C688" s="2" t="s">
        <v>1023</v>
      </c>
      <c r="D688" s="2" t="s">
        <v>2698</v>
      </c>
      <c r="E688" s="2" t="s">
        <v>400</v>
      </c>
      <c r="F688" s="2" t="s">
        <v>398</v>
      </c>
      <c r="G688" s="2" t="str">
        <f>IF(CustomerTable[[#This Row],[Status]]="RESOLVED","Done",IF(CustomerTable[[#This Row],[Status]]="CLOSED","DONE",IF(CustomerTable[[#This Row],[Status]]="DEFERRED","Done","Pending")))</f>
        <v>Done</v>
      </c>
      <c r="H688" s="2" t="s">
        <v>1028</v>
      </c>
      <c r="I688" s="2" t="s">
        <v>389</v>
      </c>
      <c r="J688" s="2" t="s">
        <v>1717</v>
      </c>
      <c r="K688" s="16">
        <v>46125</v>
      </c>
      <c r="M688" s="16">
        <v>46153</v>
      </c>
    </row>
    <row r="689" spans="1:13" x14ac:dyDescent="0.4">
      <c r="A689" s="2" t="s">
        <v>732</v>
      </c>
      <c r="B689" s="2">
        <f>VALUE(REPLACE(CustomerTable[[#This Row],[Ticket]],1,3,""))</f>
        <v>950</v>
      </c>
      <c r="C689" s="2" t="s">
        <v>1023</v>
      </c>
      <c r="D689" s="2" t="s">
        <v>2699</v>
      </c>
      <c r="E689" s="2" t="s">
        <v>399</v>
      </c>
      <c r="F689" s="2" t="s">
        <v>413</v>
      </c>
      <c r="G689" s="2" t="str">
        <f>IF(CustomerTable[[#This Row],[Status]]="RESOLVED","Done",IF(CustomerTable[[#This Row],[Status]]="CLOSED","DONE",IF(CustomerTable[[#This Row],[Status]]="DEFERRED","Done","Pending")))</f>
        <v>DONE</v>
      </c>
      <c r="H689" s="2" t="s">
        <v>1028</v>
      </c>
      <c r="I689" s="2" t="s">
        <v>389</v>
      </c>
      <c r="J689" s="2" t="s">
        <v>1718</v>
      </c>
      <c r="K689" s="16">
        <v>46125</v>
      </c>
      <c r="M689" s="16"/>
    </row>
    <row r="690" spans="1:13" x14ac:dyDescent="0.4">
      <c r="A690" s="2" t="s">
        <v>733</v>
      </c>
      <c r="B690" s="2">
        <f>VALUE(REPLACE(CustomerTable[[#This Row],[Ticket]],1,3,""))</f>
        <v>951</v>
      </c>
      <c r="C690" s="2" t="s">
        <v>1023</v>
      </c>
      <c r="D690" s="2" t="s">
        <v>2700</v>
      </c>
      <c r="E690" s="2" t="s">
        <v>399</v>
      </c>
      <c r="F690" s="2" t="s">
        <v>398</v>
      </c>
      <c r="G690" s="2" t="str">
        <f>IF(CustomerTable[[#This Row],[Status]]="RESOLVED","Done",IF(CustomerTable[[#This Row],[Status]]="CLOSED","DONE",IF(CustomerTable[[#This Row],[Status]]="DEFERRED","Done","Pending")))</f>
        <v>Done</v>
      </c>
      <c r="H690" s="2" t="s">
        <v>1028</v>
      </c>
      <c r="I690" s="2" t="s">
        <v>391</v>
      </c>
      <c r="J690" s="2" t="s">
        <v>1719</v>
      </c>
      <c r="K690" s="16">
        <v>46126</v>
      </c>
      <c r="M690" s="16">
        <v>46126</v>
      </c>
    </row>
    <row r="691" spans="1:13" x14ac:dyDescent="0.4">
      <c r="A691" s="2" t="s">
        <v>734</v>
      </c>
      <c r="B691" s="2">
        <f>VALUE(REPLACE(CustomerTable[[#This Row],[Ticket]],1,3,""))</f>
        <v>952</v>
      </c>
      <c r="C691" s="2" t="s">
        <v>1023</v>
      </c>
      <c r="D691" s="2" t="s">
        <v>2701</v>
      </c>
      <c r="E691" s="2" t="s">
        <v>399</v>
      </c>
      <c r="F691" s="2" t="s">
        <v>398</v>
      </c>
      <c r="G691" s="2" t="str">
        <f>IF(CustomerTable[[#This Row],[Status]]="RESOLVED","Done",IF(CustomerTable[[#This Row],[Status]]="CLOSED","DONE",IF(CustomerTable[[#This Row],[Status]]="DEFERRED","Done","Pending")))</f>
        <v>Done</v>
      </c>
      <c r="H691" s="2" t="s">
        <v>1028</v>
      </c>
      <c r="I691" s="2" t="s">
        <v>391</v>
      </c>
      <c r="J691" s="2" t="s">
        <v>1720</v>
      </c>
      <c r="K691" s="16">
        <v>46126</v>
      </c>
      <c r="M691" s="16">
        <v>46126</v>
      </c>
    </row>
    <row r="692" spans="1:13" x14ac:dyDescent="0.4">
      <c r="A692" s="2" t="s">
        <v>735</v>
      </c>
      <c r="B692" s="2">
        <f>VALUE(REPLACE(CustomerTable[[#This Row],[Ticket]],1,3,""))</f>
        <v>953</v>
      </c>
      <c r="C692" s="2" t="s">
        <v>1023</v>
      </c>
      <c r="D692" s="2" t="s">
        <v>2702</v>
      </c>
      <c r="E692" s="2" t="s">
        <v>405</v>
      </c>
      <c r="F692" s="2" t="s">
        <v>398</v>
      </c>
      <c r="G692" s="2" t="str">
        <f>IF(CustomerTable[[#This Row],[Status]]="RESOLVED","Done",IF(CustomerTable[[#This Row],[Status]]="CLOSED","DONE",IF(CustomerTable[[#This Row],[Status]]="DEFERRED","Done","Pending")))</f>
        <v>Done</v>
      </c>
      <c r="H692" s="2" t="s">
        <v>1028</v>
      </c>
      <c r="I692" s="2" t="s">
        <v>389</v>
      </c>
      <c r="J692" s="2" t="s">
        <v>1721</v>
      </c>
      <c r="K692" s="16">
        <v>46126</v>
      </c>
      <c r="M692" s="16">
        <v>46127</v>
      </c>
    </row>
    <row r="693" spans="1:13" x14ac:dyDescent="0.4">
      <c r="A693" s="2" t="s">
        <v>736</v>
      </c>
      <c r="B693" s="2">
        <f>VALUE(REPLACE(CustomerTable[[#This Row],[Ticket]],1,3,""))</f>
        <v>954</v>
      </c>
      <c r="C693" s="2" t="s">
        <v>1023</v>
      </c>
      <c r="D693" s="2" t="s">
        <v>2703</v>
      </c>
      <c r="E693" s="2" t="s">
        <v>399</v>
      </c>
      <c r="F693" s="2" t="s">
        <v>398</v>
      </c>
      <c r="G693" s="2" t="str">
        <f>IF(CustomerTable[[#This Row],[Status]]="RESOLVED","Done",IF(CustomerTable[[#This Row],[Status]]="CLOSED","DONE",IF(CustomerTable[[#This Row],[Status]]="DEFERRED","Done","Pending")))</f>
        <v>Done</v>
      </c>
      <c r="H693" s="2" t="s">
        <v>1028</v>
      </c>
      <c r="I693" s="2" t="s">
        <v>391</v>
      </c>
      <c r="J693" s="2" t="s">
        <v>1722</v>
      </c>
      <c r="K693" s="16">
        <v>46126</v>
      </c>
      <c r="M693" s="16">
        <v>46134</v>
      </c>
    </row>
    <row r="694" spans="1:13" x14ac:dyDescent="0.4">
      <c r="A694" s="2" t="s">
        <v>737</v>
      </c>
      <c r="B694" s="2">
        <f>VALUE(REPLACE(CustomerTable[[#This Row],[Ticket]],1,3,""))</f>
        <v>955</v>
      </c>
      <c r="C694" s="2" t="s">
        <v>1023</v>
      </c>
      <c r="D694" s="2" t="s">
        <v>2704</v>
      </c>
      <c r="E694" s="2" t="s">
        <v>399</v>
      </c>
      <c r="F694" s="2" t="s">
        <v>398</v>
      </c>
      <c r="G694" s="2" t="str">
        <f>IF(CustomerTable[[#This Row],[Status]]="RESOLVED","Done",IF(CustomerTable[[#This Row],[Status]]="CLOSED","DONE",IF(CustomerTable[[#This Row],[Status]]="DEFERRED","Done","Pending")))</f>
        <v>Done</v>
      </c>
      <c r="H694" s="2" t="s">
        <v>1028</v>
      </c>
      <c r="I694" s="2" t="s">
        <v>392</v>
      </c>
      <c r="J694" s="2" t="s">
        <v>1723</v>
      </c>
      <c r="K694" s="16">
        <v>46126</v>
      </c>
      <c r="M694" s="16">
        <v>46132</v>
      </c>
    </row>
    <row r="695" spans="1:13" x14ac:dyDescent="0.4">
      <c r="A695" s="2" t="s">
        <v>738</v>
      </c>
      <c r="B695" s="2">
        <f>VALUE(REPLACE(CustomerTable[[#This Row],[Ticket]],1,3,""))</f>
        <v>956</v>
      </c>
      <c r="C695" s="2" t="s">
        <v>1023</v>
      </c>
      <c r="D695" s="2" t="s">
        <v>2705</v>
      </c>
      <c r="E695" s="2" t="s">
        <v>399</v>
      </c>
      <c r="F695" s="2" t="s">
        <v>398</v>
      </c>
      <c r="G695" s="2" t="str">
        <f>IF(CustomerTable[[#This Row],[Status]]="RESOLVED","Done",IF(CustomerTable[[#This Row],[Status]]="CLOSED","DONE",IF(CustomerTable[[#This Row],[Status]]="DEFERRED","Done","Pending")))</f>
        <v>Done</v>
      </c>
      <c r="H695" s="2" t="s">
        <v>1028</v>
      </c>
      <c r="I695" s="2" t="s">
        <v>391</v>
      </c>
      <c r="J695" s="2" t="s">
        <v>1724</v>
      </c>
      <c r="K695" s="16">
        <v>46126</v>
      </c>
      <c r="M695" s="16">
        <v>46126</v>
      </c>
    </row>
    <row r="696" spans="1:13" x14ac:dyDescent="0.4">
      <c r="A696" s="2" t="s">
        <v>739</v>
      </c>
      <c r="B696" s="2">
        <f>VALUE(REPLACE(CustomerTable[[#This Row],[Ticket]],1,3,""))</f>
        <v>957</v>
      </c>
      <c r="C696" s="2" t="s">
        <v>1024</v>
      </c>
      <c r="D696" s="2" t="s">
        <v>2706</v>
      </c>
      <c r="E696" s="2" t="s">
        <v>399</v>
      </c>
      <c r="F696" s="2" t="s">
        <v>398</v>
      </c>
      <c r="G696" s="2" t="str">
        <f>IF(CustomerTable[[#This Row],[Status]]="RESOLVED","Done",IF(CustomerTable[[#This Row],[Status]]="CLOSED","DONE",IF(CustomerTable[[#This Row],[Status]]="DEFERRED","Done","Pending")))</f>
        <v>Done</v>
      </c>
      <c r="H696" s="2" t="s">
        <v>1029</v>
      </c>
      <c r="I696" s="2" t="s">
        <v>388</v>
      </c>
      <c r="J696" s="2" t="s">
        <v>1725</v>
      </c>
      <c r="K696" s="16">
        <v>46126</v>
      </c>
      <c r="M696" s="16">
        <v>46139</v>
      </c>
    </row>
    <row r="697" spans="1:13" x14ac:dyDescent="0.4">
      <c r="A697" s="2" t="s">
        <v>740</v>
      </c>
      <c r="B697" s="2">
        <f>VALUE(REPLACE(CustomerTable[[#This Row],[Ticket]],1,3,""))</f>
        <v>958</v>
      </c>
      <c r="C697" s="2" t="s">
        <v>1024</v>
      </c>
      <c r="D697" s="2" t="s">
        <v>2707</v>
      </c>
      <c r="E697" s="2" t="s">
        <v>400</v>
      </c>
      <c r="F697" s="2" t="s">
        <v>398</v>
      </c>
      <c r="G697" s="2" t="str">
        <f>IF(CustomerTable[[#This Row],[Status]]="RESOLVED","Done",IF(CustomerTable[[#This Row],[Status]]="CLOSED","DONE",IF(CustomerTable[[#This Row],[Status]]="DEFERRED","Done","Pending")))</f>
        <v>Done</v>
      </c>
      <c r="H697" s="2" t="s">
        <v>1029</v>
      </c>
      <c r="I697" s="2" t="s">
        <v>391</v>
      </c>
      <c r="J697" s="2" t="s">
        <v>1726</v>
      </c>
      <c r="K697" s="16">
        <v>46126</v>
      </c>
      <c r="M697" s="16">
        <v>46141</v>
      </c>
    </row>
    <row r="698" spans="1:13" x14ac:dyDescent="0.4">
      <c r="A698" s="2" t="s">
        <v>741</v>
      </c>
      <c r="B698" s="2">
        <f>VALUE(REPLACE(CustomerTable[[#This Row],[Ticket]],1,3,""))</f>
        <v>959</v>
      </c>
      <c r="C698" s="2" t="s">
        <v>1023</v>
      </c>
      <c r="D698" s="2" t="s">
        <v>2708</v>
      </c>
      <c r="E698" s="2" t="s">
        <v>399</v>
      </c>
      <c r="F698" s="2" t="s">
        <v>398</v>
      </c>
      <c r="G698" s="2" t="str">
        <f>IF(CustomerTable[[#This Row],[Status]]="RESOLVED","Done",IF(CustomerTable[[#This Row],[Status]]="CLOSED","DONE",IF(CustomerTable[[#This Row],[Status]]="DEFERRED","Done","Pending")))</f>
        <v>Done</v>
      </c>
      <c r="H698" s="2" t="s">
        <v>1028</v>
      </c>
      <c r="I698" s="2" t="s">
        <v>392</v>
      </c>
      <c r="J698" s="2" t="s">
        <v>1727</v>
      </c>
      <c r="K698" s="16">
        <v>46128</v>
      </c>
      <c r="M698" s="16">
        <v>46129</v>
      </c>
    </row>
    <row r="699" spans="1:13" x14ac:dyDescent="0.4">
      <c r="A699" s="2" t="s">
        <v>742</v>
      </c>
      <c r="B699" s="2">
        <f>VALUE(REPLACE(CustomerTable[[#This Row],[Ticket]],1,3,""))</f>
        <v>960</v>
      </c>
      <c r="C699" s="2" t="s">
        <v>1023</v>
      </c>
      <c r="D699" s="2" t="s">
        <v>2709</v>
      </c>
      <c r="E699" s="2" t="s">
        <v>399</v>
      </c>
      <c r="F699" s="2" t="s">
        <v>398</v>
      </c>
      <c r="G699" s="2" t="str">
        <f>IF(CustomerTable[[#This Row],[Status]]="RESOLVED","Done",IF(CustomerTable[[#This Row],[Status]]="CLOSED","DONE",IF(CustomerTable[[#This Row],[Status]]="DEFERRED","Done","Pending")))</f>
        <v>Done</v>
      </c>
      <c r="H699" s="2" t="s">
        <v>1028</v>
      </c>
      <c r="I699" s="2" t="s">
        <v>391</v>
      </c>
      <c r="J699" s="2" t="s">
        <v>1728</v>
      </c>
      <c r="K699" s="16">
        <v>46128</v>
      </c>
      <c r="M699" s="16">
        <v>46128</v>
      </c>
    </row>
    <row r="700" spans="1:13" x14ac:dyDescent="0.4">
      <c r="A700" s="2" t="s">
        <v>743</v>
      </c>
      <c r="B700" s="2">
        <f>VALUE(REPLACE(CustomerTable[[#This Row],[Ticket]],1,3,""))</f>
        <v>961</v>
      </c>
      <c r="C700" s="2" t="s">
        <v>1024</v>
      </c>
      <c r="D700" s="2" t="s">
        <v>2710</v>
      </c>
      <c r="E700" s="2" t="s">
        <v>399</v>
      </c>
      <c r="F700" s="2" t="s">
        <v>398</v>
      </c>
      <c r="G700" s="2" t="str">
        <f>IF(CustomerTable[[#This Row],[Status]]="RESOLVED","Done",IF(CustomerTable[[#This Row],[Status]]="CLOSED","DONE",IF(CustomerTable[[#This Row],[Status]]="DEFERRED","Done","Pending")))</f>
        <v>Done</v>
      </c>
      <c r="H700" s="2" t="s">
        <v>1034</v>
      </c>
      <c r="I700" s="2" t="s">
        <v>395</v>
      </c>
      <c r="J700" s="2" t="s">
        <v>1729</v>
      </c>
      <c r="K700" s="16">
        <v>46128</v>
      </c>
      <c r="M700" s="16">
        <v>46134</v>
      </c>
    </row>
    <row r="701" spans="1:13" x14ac:dyDescent="0.4">
      <c r="A701" s="2" t="s">
        <v>744</v>
      </c>
      <c r="B701" s="2">
        <f>VALUE(REPLACE(CustomerTable[[#This Row],[Ticket]],1,3,""))</f>
        <v>962</v>
      </c>
      <c r="C701" s="2" t="s">
        <v>1023</v>
      </c>
      <c r="D701" s="2" t="s">
        <v>2711</v>
      </c>
      <c r="E701" s="2" t="s">
        <v>399</v>
      </c>
      <c r="F701" s="2" t="s">
        <v>398</v>
      </c>
      <c r="G701" s="2" t="str">
        <f>IF(CustomerTable[[#This Row],[Status]]="RESOLVED","Done",IF(CustomerTable[[#This Row],[Status]]="CLOSED","DONE",IF(CustomerTable[[#This Row],[Status]]="DEFERRED","Done","Pending")))</f>
        <v>Done</v>
      </c>
      <c r="H701" s="2" t="s">
        <v>11</v>
      </c>
      <c r="I701" s="2" t="s">
        <v>392</v>
      </c>
      <c r="J701" s="2" t="s">
        <v>1730</v>
      </c>
      <c r="K701" s="16">
        <v>46128</v>
      </c>
      <c r="M701" s="16">
        <v>46129</v>
      </c>
    </row>
    <row r="702" spans="1:13" x14ac:dyDescent="0.4">
      <c r="A702" s="2" t="s">
        <v>745</v>
      </c>
      <c r="B702" s="2">
        <f>VALUE(REPLACE(CustomerTable[[#This Row],[Ticket]],1,3,""))</f>
        <v>963</v>
      </c>
      <c r="C702" s="2" t="s">
        <v>1023</v>
      </c>
      <c r="D702" s="2" t="s">
        <v>2712</v>
      </c>
      <c r="E702" s="2" t="s">
        <v>399</v>
      </c>
      <c r="F702" s="2" t="s">
        <v>398</v>
      </c>
      <c r="G702" s="2" t="str">
        <f>IF(CustomerTable[[#This Row],[Status]]="RESOLVED","Done",IF(CustomerTable[[#This Row],[Status]]="CLOSED","DONE",IF(CustomerTable[[#This Row],[Status]]="DEFERRED","Done","Pending")))</f>
        <v>Done</v>
      </c>
      <c r="H702" s="2" t="s">
        <v>1028</v>
      </c>
      <c r="I702" s="2" t="s">
        <v>392</v>
      </c>
      <c r="J702" s="2" t="s">
        <v>1731</v>
      </c>
      <c r="K702" s="16">
        <v>46128</v>
      </c>
      <c r="M702" s="16">
        <v>46130</v>
      </c>
    </row>
    <row r="703" spans="1:13" x14ac:dyDescent="0.4">
      <c r="A703" s="2" t="s">
        <v>746</v>
      </c>
      <c r="B703" s="2">
        <f>VALUE(REPLACE(CustomerTable[[#This Row],[Ticket]],1,3,""))</f>
        <v>964</v>
      </c>
      <c r="C703" s="2" t="s">
        <v>1023</v>
      </c>
      <c r="D703" s="2" t="s">
        <v>2713</v>
      </c>
      <c r="E703" s="2" t="s">
        <v>399</v>
      </c>
      <c r="F703" s="2" t="s">
        <v>398</v>
      </c>
      <c r="G703" s="2" t="str">
        <f>IF(CustomerTable[[#This Row],[Status]]="RESOLVED","Done",IF(CustomerTable[[#This Row],[Status]]="CLOSED","DONE",IF(CustomerTable[[#This Row],[Status]]="DEFERRED","Done","Pending")))</f>
        <v>Done</v>
      </c>
      <c r="H703" s="2" t="s">
        <v>1028</v>
      </c>
      <c r="I703" s="2" t="s">
        <v>391</v>
      </c>
      <c r="J703" s="2" t="s">
        <v>1732</v>
      </c>
      <c r="K703" s="16">
        <v>46128</v>
      </c>
      <c r="M703" s="16">
        <v>46132</v>
      </c>
    </row>
    <row r="704" spans="1:13" x14ac:dyDescent="0.4">
      <c r="A704" s="2" t="s">
        <v>747</v>
      </c>
      <c r="B704" s="2">
        <f>VALUE(REPLACE(CustomerTable[[#This Row],[Ticket]],1,3,""))</f>
        <v>965</v>
      </c>
      <c r="C704" s="2" t="s">
        <v>1023</v>
      </c>
      <c r="D704" s="2" t="s">
        <v>2714</v>
      </c>
      <c r="E704" s="2" t="s">
        <v>399</v>
      </c>
      <c r="F704" s="2" t="s">
        <v>413</v>
      </c>
      <c r="G704" s="2" t="str">
        <f>IF(CustomerTable[[#This Row],[Status]]="RESOLVED","Done",IF(CustomerTable[[#This Row],[Status]]="CLOSED","DONE",IF(CustomerTable[[#This Row],[Status]]="DEFERRED","Done","Pending")))</f>
        <v>DONE</v>
      </c>
      <c r="H704" s="2" t="s">
        <v>1028</v>
      </c>
      <c r="I704" s="2" t="s">
        <v>392</v>
      </c>
      <c r="J704" s="2" t="s">
        <v>1733</v>
      </c>
      <c r="K704" s="16">
        <v>46128</v>
      </c>
      <c r="M704" s="16"/>
    </row>
    <row r="705" spans="1:13" x14ac:dyDescent="0.4">
      <c r="A705" s="2" t="s">
        <v>748</v>
      </c>
      <c r="B705" s="2">
        <f>VALUE(REPLACE(CustomerTable[[#This Row],[Ticket]],1,3,""))</f>
        <v>966</v>
      </c>
      <c r="C705" s="2" t="s">
        <v>1023</v>
      </c>
      <c r="D705" s="2" t="s">
        <v>2715</v>
      </c>
      <c r="E705" s="2" t="s">
        <v>399</v>
      </c>
      <c r="F705" s="2" t="s">
        <v>398</v>
      </c>
      <c r="G705" s="2" t="str">
        <f>IF(CustomerTable[[#This Row],[Status]]="RESOLVED","Done",IF(CustomerTable[[#This Row],[Status]]="CLOSED","DONE",IF(CustomerTable[[#This Row],[Status]]="DEFERRED","Done","Pending")))</f>
        <v>Done</v>
      </c>
      <c r="H705" s="2" t="s">
        <v>11</v>
      </c>
      <c r="I705" s="2" t="s">
        <v>394</v>
      </c>
      <c r="J705" s="2" t="s">
        <v>1734</v>
      </c>
      <c r="K705" s="16">
        <v>46128</v>
      </c>
      <c r="M705" s="16">
        <v>46132</v>
      </c>
    </row>
    <row r="706" spans="1:13" x14ac:dyDescent="0.4">
      <c r="A706" s="2" t="s">
        <v>749</v>
      </c>
      <c r="B706" s="2">
        <f>VALUE(REPLACE(CustomerTable[[#This Row],[Ticket]],1,3,""))</f>
        <v>967</v>
      </c>
      <c r="C706" s="2" t="s">
        <v>1023</v>
      </c>
      <c r="D706" s="2" t="s">
        <v>2716</v>
      </c>
      <c r="E706" s="2" t="s">
        <v>399</v>
      </c>
      <c r="F706" s="2" t="s">
        <v>398</v>
      </c>
      <c r="G706" s="2" t="str">
        <f>IF(CustomerTable[[#This Row],[Status]]="RESOLVED","Done",IF(CustomerTable[[#This Row],[Status]]="CLOSED","DONE",IF(CustomerTable[[#This Row],[Status]]="DEFERRED","Done","Pending")))</f>
        <v>Done</v>
      </c>
      <c r="H706" s="2" t="s">
        <v>1028</v>
      </c>
      <c r="I706" s="2" t="s">
        <v>389</v>
      </c>
      <c r="J706" s="2" t="s">
        <v>1735</v>
      </c>
      <c r="K706" s="16">
        <v>46128</v>
      </c>
      <c r="M706" s="16">
        <v>46132</v>
      </c>
    </row>
    <row r="707" spans="1:13" x14ac:dyDescent="0.4">
      <c r="A707" s="2" t="s">
        <v>750</v>
      </c>
      <c r="B707" s="2">
        <f>VALUE(REPLACE(CustomerTable[[#This Row],[Ticket]],1,3,""))</f>
        <v>968</v>
      </c>
      <c r="C707" s="2" t="s">
        <v>1023</v>
      </c>
      <c r="D707" s="2" t="s">
        <v>2717</v>
      </c>
      <c r="E707" s="2" t="s">
        <v>399</v>
      </c>
      <c r="F707" s="2" t="s">
        <v>398</v>
      </c>
      <c r="G707" s="2" t="str">
        <f>IF(CustomerTable[[#This Row],[Status]]="RESOLVED","Done",IF(CustomerTable[[#This Row],[Status]]="CLOSED","DONE",IF(CustomerTable[[#This Row],[Status]]="DEFERRED","Done","Pending")))</f>
        <v>Done</v>
      </c>
      <c r="H707" s="2" t="s">
        <v>1028</v>
      </c>
      <c r="I707" s="2" t="s">
        <v>389</v>
      </c>
      <c r="J707" s="2" t="s">
        <v>1736</v>
      </c>
      <c r="K707" s="16">
        <v>46128</v>
      </c>
      <c r="M707" s="16">
        <v>46128</v>
      </c>
    </row>
    <row r="708" spans="1:13" x14ac:dyDescent="0.4">
      <c r="A708" s="2" t="s">
        <v>751</v>
      </c>
      <c r="B708" s="2">
        <f>VALUE(REPLACE(CustomerTable[[#This Row],[Ticket]],1,3,""))</f>
        <v>969</v>
      </c>
      <c r="C708" s="2" t="s">
        <v>1024</v>
      </c>
      <c r="D708" s="2" t="s">
        <v>2718</v>
      </c>
      <c r="E708" s="2" t="s">
        <v>399</v>
      </c>
      <c r="F708" s="2" t="s">
        <v>413</v>
      </c>
      <c r="G708" s="2" t="str">
        <f>IF(CustomerTable[[#This Row],[Status]]="RESOLVED","Done",IF(CustomerTable[[#This Row],[Status]]="CLOSED","DONE",IF(CustomerTable[[#This Row],[Status]]="DEFERRED","Done","Pending")))</f>
        <v>DONE</v>
      </c>
      <c r="H708" s="2" t="s">
        <v>1034</v>
      </c>
      <c r="I708" s="2" t="s">
        <v>388</v>
      </c>
      <c r="J708" s="2" t="s">
        <v>1737</v>
      </c>
      <c r="K708" s="16">
        <v>46128</v>
      </c>
      <c r="M708" s="16"/>
    </row>
    <row r="709" spans="1:13" x14ac:dyDescent="0.4">
      <c r="A709" s="2" t="s">
        <v>752</v>
      </c>
      <c r="B709" s="2">
        <f>VALUE(REPLACE(CustomerTable[[#This Row],[Ticket]],1,3,""))</f>
        <v>970</v>
      </c>
      <c r="C709" s="2" t="s">
        <v>1024</v>
      </c>
      <c r="D709" s="2" t="s">
        <v>2719</v>
      </c>
      <c r="E709" s="2" t="s">
        <v>399</v>
      </c>
      <c r="F709" s="2" t="s">
        <v>398</v>
      </c>
      <c r="G709" s="2" t="str">
        <f>IF(CustomerTable[[#This Row],[Status]]="RESOLVED","Done",IF(CustomerTable[[#This Row],[Status]]="CLOSED","DONE",IF(CustomerTable[[#This Row],[Status]]="DEFERRED","Done","Pending")))</f>
        <v>Done</v>
      </c>
      <c r="H709" s="2" t="s">
        <v>11</v>
      </c>
      <c r="I709" s="2" t="s">
        <v>390</v>
      </c>
      <c r="J709" s="2" t="s">
        <v>1738</v>
      </c>
      <c r="K709" s="16">
        <v>46128</v>
      </c>
      <c r="M709" s="16">
        <v>46136</v>
      </c>
    </row>
    <row r="710" spans="1:13" x14ac:dyDescent="0.4">
      <c r="A710" s="2" t="s">
        <v>753</v>
      </c>
      <c r="B710" s="2">
        <f>VALUE(REPLACE(CustomerTable[[#This Row],[Ticket]],1,3,""))</f>
        <v>971</v>
      </c>
      <c r="C710" s="2" t="s">
        <v>1024</v>
      </c>
      <c r="D710" s="2" t="s">
        <v>2720</v>
      </c>
      <c r="E710" s="2" t="s">
        <v>399</v>
      </c>
      <c r="F710" s="2" t="s">
        <v>398</v>
      </c>
      <c r="G710" s="2" t="str">
        <f>IF(CustomerTable[[#This Row],[Status]]="RESOLVED","Done",IF(CustomerTable[[#This Row],[Status]]="CLOSED","DONE",IF(CustomerTable[[#This Row],[Status]]="DEFERRED","Done","Pending")))</f>
        <v>Done</v>
      </c>
      <c r="H710" s="2" t="s">
        <v>1029</v>
      </c>
      <c r="I710" s="2" t="s">
        <v>395</v>
      </c>
      <c r="J710" s="2" t="s">
        <v>1739</v>
      </c>
      <c r="K710" s="16">
        <v>46128</v>
      </c>
      <c r="M710" s="16">
        <v>46132</v>
      </c>
    </row>
    <row r="711" spans="1:13" x14ac:dyDescent="0.4">
      <c r="A711" s="2" t="s">
        <v>754</v>
      </c>
      <c r="B711" s="2">
        <f>VALUE(REPLACE(CustomerTable[[#This Row],[Ticket]],1,3,""))</f>
        <v>972</v>
      </c>
      <c r="C711" s="2" t="s">
        <v>1024</v>
      </c>
      <c r="D711" s="2" t="s">
        <v>2721</v>
      </c>
      <c r="E711" s="2" t="s">
        <v>399</v>
      </c>
      <c r="F711" s="2" t="s">
        <v>398</v>
      </c>
      <c r="G711" s="2" t="str">
        <f>IF(CustomerTable[[#This Row],[Status]]="RESOLVED","Done",IF(CustomerTable[[#This Row],[Status]]="CLOSED","DONE",IF(CustomerTable[[#This Row],[Status]]="DEFERRED","Done","Pending")))</f>
        <v>Done</v>
      </c>
      <c r="H711" s="2" t="s">
        <v>1034</v>
      </c>
      <c r="I711" s="2" t="s">
        <v>390</v>
      </c>
      <c r="J711" s="2" t="s">
        <v>1740</v>
      </c>
      <c r="K711" s="16">
        <v>46128</v>
      </c>
      <c r="M711" s="16">
        <v>46139</v>
      </c>
    </row>
    <row r="712" spans="1:13" x14ac:dyDescent="0.4">
      <c r="A712" s="2" t="s">
        <v>755</v>
      </c>
      <c r="B712" s="2">
        <f>VALUE(REPLACE(CustomerTable[[#This Row],[Ticket]],1,3,""))</f>
        <v>973</v>
      </c>
      <c r="C712" s="2" t="s">
        <v>1023</v>
      </c>
      <c r="D712" s="2" t="s">
        <v>2722</v>
      </c>
      <c r="E712" s="2" t="s">
        <v>400</v>
      </c>
      <c r="F712" s="2" t="s">
        <v>398</v>
      </c>
      <c r="G712" s="2" t="str">
        <f>IF(CustomerTable[[#This Row],[Status]]="RESOLVED","Done",IF(CustomerTable[[#This Row],[Status]]="CLOSED","DONE",IF(CustomerTable[[#This Row],[Status]]="DEFERRED","Done","Pending")))</f>
        <v>Done</v>
      </c>
      <c r="H712" s="2" t="s">
        <v>1028</v>
      </c>
      <c r="I712" s="2" t="s">
        <v>389</v>
      </c>
      <c r="J712" s="2" t="s">
        <v>1741</v>
      </c>
      <c r="K712" s="16">
        <v>46130</v>
      </c>
      <c r="M712" s="16">
        <v>46139</v>
      </c>
    </row>
    <row r="713" spans="1:13" x14ac:dyDescent="0.4">
      <c r="A713" s="2" t="s">
        <v>756</v>
      </c>
      <c r="B713" s="2">
        <f>VALUE(REPLACE(CustomerTable[[#This Row],[Ticket]],1,3,""))</f>
        <v>974</v>
      </c>
      <c r="C713" s="2" t="s">
        <v>1023</v>
      </c>
      <c r="D713" s="2" t="s">
        <v>2723</v>
      </c>
      <c r="E713" s="2" t="s">
        <v>399</v>
      </c>
      <c r="F713" s="2" t="s">
        <v>398</v>
      </c>
      <c r="G713" s="2" t="str">
        <f>IF(CustomerTable[[#This Row],[Status]]="RESOLVED","Done",IF(CustomerTable[[#This Row],[Status]]="CLOSED","DONE",IF(CustomerTable[[#This Row],[Status]]="DEFERRED","Done","Pending")))</f>
        <v>Done</v>
      </c>
      <c r="H713" s="2" t="s">
        <v>1028</v>
      </c>
      <c r="I713" s="2" t="s">
        <v>389</v>
      </c>
      <c r="J713" s="2" t="s">
        <v>1742</v>
      </c>
      <c r="K713" s="16">
        <v>46130</v>
      </c>
      <c r="M713" s="16">
        <v>46132</v>
      </c>
    </row>
    <row r="714" spans="1:13" x14ac:dyDescent="0.4">
      <c r="A714" s="2" t="s">
        <v>757</v>
      </c>
      <c r="B714" s="2">
        <f>VALUE(REPLACE(CustomerTable[[#This Row],[Ticket]],1,3,""))</f>
        <v>975</v>
      </c>
      <c r="C714" s="2" t="s">
        <v>1024</v>
      </c>
      <c r="D714" s="2" t="s">
        <v>2724</v>
      </c>
      <c r="E714" s="2" t="s">
        <v>399</v>
      </c>
      <c r="F714" s="2" t="s">
        <v>398</v>
      </c>
      <c r="G714" s="2" t="str">
        <f>IF(CustomerTable[[#This Row],[Status]]="RESOLVED","Done",IF(CustomerTable[[#This Row],[Status]]="CLOSED","DONE",IF(CustomerTable[[#This Row],[Status]]="DEFERRED","Done","Pending")))</f>
        <v>Done</v>
      </c>
      <c r="H714" s="2" t="s">
        <v>1034</v>
      </c>
      <c r="I714" s="2" t="s">
        <v>390</v>
      </c>
      <c r="J714" s="2" t="s">
        <v>1743</v>
      </c>
      <c r="K714" s="16">
        <v>46130</v>
      </c>
      <c r="M714" s="16">
        <v>46132</v>
      </c>
    </row>
    <row r="715" spans="1:13" x14ac:dyDescent="0.4">
      <c r="A715" s="2" t="s">
        <v>758</v>
      </c>
      <c r="B715" s="2">
        <f>VALUE(REPLACE(CustomerTable[[#This Row],[Ticket]],1,3,""))</f>
        <v>976</v>
      </c>
      <c r="C715" s="2" t="s">
        <v>1024</v>
      </c>
      <c r="D715" s="2" t="s">
        <v>2725</v>
      </c>
      <c r="E715" s="2" t="s">
        <v>400</v>
      </c>
      <c r="F715" s="2" t="s">
        <v>398</v>
      </c>
      <c r="G715" s="2" t="str">
        <f>IF(CustomerTable[[#This Row],[Status]]="RESOLVED","Done",IF(CustomerTable[[#This Row],[Status]]="CLOSED","DONE",IF(CustomerTable[[#This Row],[Status]]="DEFERRED","Done","Pending")))</f>
        <v>Done</v>
      </c>
      <c r="H715" s="2" t="s">
        <v>1034</v>
      </c>
      <c r="I715" s="2" t="s">
        <v>393</v>
      </c>
      <c r="J715" s="2" t="s">
        <v>1744</v>
      </c>
      <c r="K715" s="16">
        <v>46130</v>
      </c>
      <c r="M715" s="16">
        <v>46141</v>
      </c>
    </row>
    <row r="716" spans="1:13" x14ac:dyDescent="0.4">
      <c r="A716" s="2" t="s">
        <v>760</v>
      </c>
      <c r="B716" s="2">
        <f>VALUE(REPLACE(CustomerTable[[#This Row],[Ticket]],1,3,""))</f>
        <v>977</v>
      </c>
      <c r="C716" s="2" t="s">
        <v>1023</v>
      </c>
      <c r="D716" s="2" t="s">
        <v>2726</v>
      </c>
      <c r="E716" s="2" t="s">
        <v>399</v>
      </c>
      <c r="F716" s="2" t="s">
        <v>398</v>
      </c>
      <c r="G716" s="2" t="str">
        <f>IF(CustomerTable[[#This Row],[Status]]="RESOLVED","Done",IF(CustomerTable[[#This Row],[Status]]="CLOSED","DONE",IF(CustomerTable[[#This Row],[Status]]="DEFERRED","Done","Pending")))</f>
        <v>Done</v>
      </c>
      <c r="H716" s="2" t="s">
        <v>1028</v>
      </c>
      <c r="I716" s="2" t="s">
        <v>389</v>
      </c>
      <c r="J716" s="2" t="s">
        <v>1745</v>
      </c>
      <c r="K716" s="16">
        <v>46132</v>
      </c>
      <c r="M716" s="16">
        <v>46139</v>
      </c>
    </row>
    <row r="717" spans="1:13" x14ac:dyDescent="0.4">
      <c r="A717" s="2" t="s">
        <v>761</v>
      </c>
      <c r="B717" s="2">
        <f>VALUE(REPLACE(CustomerTable[[#This Row],[Ticket]],1,3,""))</f>
        <v>978</v>
      </c>
      <c r="C717" s="2" t="s">
        <v>1023</v>
      </c>
      <c r="D717" s="2" t="s">
        <v>2727</v>
      </c>
      <c r="E717" s="2" t="s">
        <v>399</v>
      </c>
      <c r="F717" s="2" t="s">
        <v>398</v>
      </c>
      <c r="G717" s="2" t="str">
        <f>IF(CustomerTable[[#This Row],[Status]]="RESOLVED","Done",IF(CustomerTable[[#This Row],[Status]]="CLOSED","DONE",IF(CustomerTable[[#This Row],[Status]]="DEFERRED","Done","Pending")))</f>
        <v>Done</v>
      </c>
      <c r="H717" s="2" t="s">
        <v>1028</v>
      </c>
      <c r="I717" s="2" t="s">
        <v>389</v>
      </c>
      <c r="J717" s="2" t="s">
        <v>1746</v>
      </c>
      <c r="K717" s="16">
        <v>46132</v>
      </c>
      <c r="M717" s="16">
        <v>46133</v>
      </c>
    </row>
    <row r="718" spans="1:13" x14ac:dyDescent="0.4">
      <c r="A718" s="2" t="s">
        <v>762</v>
      </c>
      <c r="B718" s="2">
        <f>VALUE(REPLACE(CustomerTable[[#This Row],[Ticket]],1,3,""))</f>
        <v>979</v>
      </c>
      <c r="C718" s="2" t="s">
        <v>1023</v>
      </c>
      <c r="D718" s="2" t="s">
        <v>2728</v>
      </c>
      <c r="E718" s="2" t="s">
        <v>399</v>
      </c>
      <c r="F718" s="2" t="s">
        <v>398</v>
      </c>
      <c r="G718" s="2" t="str">
        <f>IF(CustomerTable[[#This Row],[Status]]="RESOLVED","Done",IF(CustomerTable[[#This Row],[Status]]="CLOSED","DONE",IF(CustomerTable[[#This Row],[Status]]="DEFERRED","Done","Pending")))</f>
        <v>Done</v>
      </c>
      <c r="H718" s="2" t="s">
        <v>1028</v>
      </c>
      <c r="I718" s="2" t="s">
        <v>389</v>
      </c>
      <c r="J718" s="2" t="s">
        <v>1747</v>
      </c>
      <c r="K718" s="16">
        <v>46132</v>
      </c>
      <c r="M718" s="16">
        <v>46132</v>
      </c>
    </row>
    <row r="719" spans="1:13" x14ac:dyDescent="0.4">
      <c r="A719" s="2" t="s">
        <v>763</v>
      </c>
      <c r="B719" s="2">
        <f>VALUE(REPLACE(CustomerTable[[#This Row],[Ticket]],1,3,""))</f>
        <v>980</v>
      </c>
      <c r="C719" s="2" t="s">
        <v>1023</v>
      </c>
      <c r="D719" s="2" t="s">
        <v>2729</v>
      </c>
      <c r="E719" s="2" t="s">
        <v>405</v>
      </c>
      <c r="F719" s="2" t="s">
        <v>398</v>
      </c>
      <c r="G719" s="2" t="str">
        <f>IF(CustomerTable[[#This Row],[Status]]="RESOLVED","Done",IF(CustomerTable[[#This Row],[Status]]="CLOSED","DONE",IF(CustomerTable[[#This Row],[Status]]="DEFERRED","Done","Pending")))</f>
        <v>Done</v>
      </c>
      <c r="H719" s="2" t="s">
        <v>1028</v>
      </c>
      <c r="I719" s="2" t="s">
        <v>393</v>
      </c>
      <c r="J719" s="2" t="s">
        <v>1748</v>
      </c>
      <c r="K719" s="16">
        <v>46132</v>
      </c>
      <c r="M719" s="16">
        <v>46139</v>
      </c>
    </row>
    <row r="720" spans="1:13" x14ac:dyDescent="0.4">
      <c r="A720" s="2" t="s">
        <v>764</v>
      </c>
      <c r="B720" s="2">
        <f>VALUE(REPLACE(CustomerTable[[#This Row],[Ticket]],1,3,""))</f>
        <v>981</v>
      </c>
      <c r="C720" s="2" t="s">
        <v>1023</v>
      </c>
      <c r="D720" s="2" t="s">
        <v>2730</v>
      </c>
      <c r="E720" s="2" t="s">
        <v>405</v>
      </c>
      <c r="F720" s="2" t="s">
        <v>398</v>
      </c>
      <c r="G720" s="2" t="str">
        <f>IF(CustomerTable[[#This Row],[Status]]="RESOLVED","Done",IF(CustomerTable[[#This Row],[Status]]="CLOSED","DONE",IF(CustomerTable[[#This Row],[Status]]="DEFERRED","Done","Pending")))</f>
        <v>Done</v>
      </c>
      <c r="H720" s="2" t="s">
        <v>11</v>
      </c>
      <c r="I720" s="2" t="s">
        <v>388</v>
      </c>
      <c r="J720" s="2" t="s">
        <v>1749</v>
      </c>
      <c r="K720" s="16">
        <v>46132</v>
      </c>
      <c r="M720" s="16">
        <v>46155</v>
      </c>
    </row>
    <row r="721" spans="1:13" x14ac:dyDescent="0.4">
      <c r="A721" s="2" t="s">
        <v>765</v>
      </c>
      <c r="B721" s="2">
        <f>VALUE(REPLACE(CustomerTable[[#This Row],[Ticket]],1,3,""))</f>
        <v>982</v>
      </c>
      <c r="C721" s="2" t="s">
        <v>1023</v>
      </c>
      <c r="D721" s="2" t="s">
        <v>2731</v>
      </c>
      <c r="E721" s="2" t="s">
        <v>405</v>
      </c>
      <c r="F721" s="2" t="s">
        <v>398</v>
      </c>
      <c r="G721" s="2" t="str">
        <f>IF(CustomerTable[[#This Row],[Status]]="RESOLVED","Done",IF(CustomerTable[[#This Row],[Status]]="CLOSED","DONE",IF(CustomerTable[[#This Row],[Status]]="DEFERRED","Done","Pending")))</f>
        <v>Done</v>
      </c>
      <c r="H721" s="2" t="s">
        <v>11</v>
      </c>
      <c r="I721" s="2" t="s">
        <v>391</v>
      </c>
      <c r="J721" s="2" t="s">
        <v>1750</v>
      </c>
      <c r="K721" s="16">
        <v>46132</v>
      </c>
      <c r="M721" s="16">
        <v>46153</v>
      </c>
    </row>
    <row r="722" spans="1:13" x14ac:dyDescent="0.4">
      <c r="A722" s="2" t="s">
        <v>766</v>
      </c>
      <c r="B722" s="2">
        <f>VALUE(REPLACE(CustomerTable[[#This Row],[Ticket]],1,3,""))</f>
        <v>983</v>
      </c>
      <c r="C722" s="2" t="s">
        <v>1023</v>
      </c>
      <c r="D722" s="2" t="s">
        <v>2732</v>
      </c>
      <c r="E722" s="2" t="s">
        <v>400</v>
      </c>
      <c r="F722" s="2" t="s">
        <v>398</v>
      </c>
      <c r="G722" s="2" t="str">
        <f>IF(CustomerTable[[#This Row],[Status]]="RESOLVED","Done",IF(CustomerTable[[#This Row],[Status]]="CLOSED","DONE",IF(CustomerTable[[#This Row],[Status]]="DEFERRED","Done","Pending")))</f>
        <v>Done</v>
      </c>
      <c r="H722" s="2" t="s">
        <v>1034</v>
      </c>
      <c r="I722" s="2" t="s">
        <v>390</v>
      </c>
      <c r="J722" s="2" t="s">
        <v>1751</v>
      </c>
      <c r="K722" s="16">
        <v>46133</v>
      </c>
      <c r="M722" s="16">
        <v>46167</v>
      </c>
    </row>
    <row r="723" spans="1:13" x14ac:dyDescent="0.4">
      <c r="A723" s="2" t="s">
        <v>767</v>
      </c>
      <c r="B723" s="2">
        <f>VALUE(REPLACE(CustomerTable[[#This Row],[Ticket]],1,3,""))</f>
        <v>984</v>
      </c>
      <c r="C723" s="2" t="s">
        <v>1023</v>
      </c>
      <c r="D723" s="2" t="s">
        <v>2733</v>
      </c>
      <c r="E723" s="2" t="s">
        <v>399</v>
      </c>
      <c r="F723" s="2" t="s">
        <v>398</v>
      </c>
      <c r="G723" s="2" t="str">
        <f>IF(CustomerTable[[#This Row],[Status]]="RESOLVED","Done",IF(CustomerTable[[#This Row],[Status]]="CLOSED","DONE",IF(CustomerTable[[#This Row],[Status]]="DEFERRED","Done","Pending")))</f>
        <v>Done</v>
      </c>
      <c r="H723" s="2" t="s">
        <v>1028</v>
      </c>
      <c r="I723" s="2" t="s">
        <v>392</v>
      </c>
      <c r="J723" s="2" t="s">
        <v>1752</v>
      </c>
      <c r="K723" s="16">
        <v>46133</v>
      </c>
      <c r="M723" s="16">
        <v>46134</v>
      </c>
    </row>
    <row r="724" spans="1:13" x14ac:dyDescent="0.4">
      <c r="A724" s="2" t="s">
        <v>768</v>
      </c>
      <c r="B724" s="2">
        <f>VALUE(REPLACE(CustomerTable[[#This Row],[Ticket]],1,3,""))</f>
        <v>985</v>
      </c>
      <c r="C724" s="2" t="s">
        <v>1023</v>
      </c>
      <c r="D724" s="2" t="s">
        <v>2734</v>
      </c>
      <c r="E724" s="2" t="s">
        <v>399</v>
      </c>
      <c r="F724" s="2" t="s">
        <v>398</v>
      </c>
      <c r="G724" s="2" t="str">
        <f>IF(CustomerTable[[#This Row],[Status]]="RESOLVED","Done",IF(CustomerTable[[#This Row],[Status]]="CLOSED","DONE",IF(CustomerTable[[#This Row],[Status]]="DEFERRED","Done","Pending")))</f>
        <v>Done</v>
      </c>
      <c r="H724" s="2" t="s">
        <v>1028</v>
      </c>
      <c r="I724" s="2" t="s">
        <v>389</v>
      </c>
      <c r="J724" s="2" t="s">
        <v>1753</v>
      </c>
      <c r="K724" s="16">
        <v>46133</v>
      </c>
      <c r="M724" s="16">
        <v>46134</v>
      </c>
    </row>
    <row r="725" spans="1:13" x14ac:dyDescent="0.4">
      <c r="A725" s="2" t="s">
        <v>769</v>
      </c>
      <c r="B725" s="2">
        <f>VALUE(REPLACE(CustomerTable[[#This Row],[Ticket]],1,3,""))</f>
        <v>986</v>
      </c>
      <c r="C725" s="2" t="s">
        <v>1023</v>
      </c>
      <c r="D725" s="2" t="s">
        <v>2735</v>
      </c>
      <c r="E725" s="2" t="s">
        <v>399</v>
      </c>
      <c r="F725" s="2" t="s">
        <v>398</v>
      </c>
      <c r="G725" s="2" t="str">
        <f>IF(CustomerTable[[#This Row],[Status]]="RESOLVED","Done",IF(CustomerTable[[#This Row],[Status]]="CLOSED","DONE",IF(CustomerTable[[#This Row],[Status]]="DEFERRED","Done","Pending")))</f>
        <v>Done</v>
      </c>
      <c r="H725" s="2" t="s">
        <v>1032</v>
      </c>
      <c r="I725" s="2" t="s">
        <v>390</v>
      </c>
      <c r="J725" s="2" t="s">
        <v>1754</v>
      </c>
      <c r="K725" s="16">
        <v>46133</v>
      </c>
      <c r="M725" s="16">
        <v>46134</v>
      </c>
    </row>
    <row r="726" spans="1:13" x14ac:dyDescent="0.4">
      <c r="A726" s="2" t="s">
        <v>770</v>
      </c>
      <c r="B726" s="2">
        <f>VALUE(REPLACE(CustomerTable[[#This Row],[Ticket]],1,3,""))</f>
        <v>987</v>
      </c>
      <c r="C726" s="2" t="s">
        <v>1024</v>
      </c>
      <c r="D726" s="2" t="s">
        <v>2736</v>
      </c>
      <c r="E726" s="2" t="s">
        <v>405</v>
      </c>
      <c r="F726" s="2" t="s">
        <v>398</v>
      </c>
      <c r="G726" s="2" t="str">
        <f>IF(CustomerTable[[#This Row],[Status]]="RESOLVED","Done",IF(CustomerTable[[#This Row],[Status]]="CLOSED","DONE",IF(CustomerTable[[#This Row],[Status]]="DEFERRED","Done","Pending")))</f>
        <v>Done</v>
      </c>
      <c r="H726" s="2" t="s">
        <v>11</v>
      </c>
      <c r="I726" s="2" t="s">
        <v>388</v>
      </c>
      <c r="J726" s="2" t="s">
        <v>1755</v>
      </c>
      <c r="K726" s="16">
        <v>46133</v>
      </c>
      <c r="M726" s="16">
        <v>46139</v>
      </c>
    </row>
    <row r="727" spans="1:13" x14ac:dyDescent="0.4">
      <c r="A727" s="2" t="s">
        <v>771</v>
      </c>
      <c r="B727" s="2">
        <f>VALUE(REPLACE(CustomerTable[[#This Row],[Ticket]],1,3,""))</f>
        <v>988</v>
      </c>
      <c r="C727" s="2" t="s">
        <v>1024</v>
      </c>
      <c r="D727" s="2" t="s">
        <v>2737</v>
      </c>
      <c r="E727" s="2" t="s">
        <v>399</v>
      </c>
      <c r="F727" s="2" t="s">
        <v>413</v>
      </c>
      <c r="G727" s="2" t="str">
        <f>IF(CustomerTable[[#This Row],[Status]]="RESOLVED","Done",IF(CustomerTable[[#This Row],[Status]]="CLOSED","DONE",IF(CustomerTable[[#This Row],[Status]]="DEFERRED","Done","Pending")))</f>
        <v>DONE</v>
      </c>
      <c r="H727" s="2" t="s">
        <v>1029</v>
      </c>
      <c r="I727" s="2" t="s">
        <v>390</v>
      </c>
      <c r="J727" s="2" t="s">
        <v>1756</v>
      </c>
      <c r="K727" s="16">
        <v>46133</v>
      </c>
      <c r="M727" s="16"/>
    </row>
    <row r="728" spans="1:13" x14ac:dyDescent="0.4">
      <c r="A728" s="2" t="s">
        <v>772</v>
      </c>
      <c r="B728" s="2">
        <f>VALUE(REPLACE(CustomerTable[[#This Row],[Ticket]],1,3,""))</f>
        <v>989</v>
      </c>
      <c r="C728" s="2" t="s">
        <v>1024</v>
      </c>
      <c r="D728" s="2" t="s">
        <v>2738</v>
      </c>
      <c r="E728" s="2" t="s">
        <v>400</v>
      </c>
      <c r="F728" s="2" t="s">
        <v>398</v>
      </c>
      <c r="G728" s="2" t="str">
        <f>IF(CustomerTable[[#This Row],[Status]]="RESOLVED","Done",IF(CustomerTable[[#This Row],[Status]]="CLOSED","DONE",IF(CustomerTable[[#This Row],[Status]]="DEFERRED","Done","Pending")))</f>
        <v>Done</v>
      </c>
      <c r="H728" s="2" t="s">
        <v>11</v>
      </c>
      <c r="I728" s="2" t="s">
        <v>395</v>
      </c>
      <c r="J728" s="2" t="s">
        <v>1757</v>
      </c>
      <c r="K728" s="16">
        <v>46134</v>
      </c>
      <c r="M728" s="16">
        <v>46148</v>
      </c>
    </row>
    <row r="729" spans="1:13" x14ac:dyDescent="0.4">
      <c r="A729" s="2" t="s">
        <v>773</v>
      </c>
      <c r="B729" s="2">
        <f>VALUE(REPLACE(CustomerTable[[#This Row],[Ticket]],1,3,""))</f>
        <v>990</v>
      </c>
      <c r="C729" s="2" t="s">
        <v>1023</v>
      </c>
      <c r="D729" s="2" t="s">
        <v>2739</v>
      </c>
      <c r="E729" s="2" t="s">
        <v>400</v>
      </c>
      <c r="F729" s="2" t="s">
        <v>398</v>
      </c>
      <c r="G729" s="2" t="str">
        <f>IF(CustomerTable[[#This Row],[Status]]="RESOLVED","Done",IF(CustomerTable[[#This Row],[Status]]="CLOSED","DONE",IF(CustomerTable[[#This Row],[Status]]="DEFERRED","Done","Pending")))</f>
        <v>Done</v>
      </c>
      <c r="H729" s="2" t="s">
        <v>11</v>
      </c>
      <c r="I729" s="2" t="s">
        <v>390</v>
      </c>
      <c r="J729" s="2" t="s">
        <v>1758</v>
      </c>
      <c r="K729" s="16">
        <v>46135</v>
      </c>
      <c r="M729" s="16">
        <v>46141</v>
      </c>
    </row>
    <row r="730" spans="1:13" x14ac:dyDescent="0.4">
      <c r="A730" s="2" t="s">
        <v>774</v>
      </c>
      <c r="B730" s="2">
        <f>VALUE(REPLACE(CustomerTable[[#This Row],[Ticket]],1,3,""))</f>
        <v>991</v>
      </c>
      <c r="C730" s="2" t="s">
        <v>1023</v>
      </c>
      <c r="D730" s="2" t="s">
        <v>2740</v>
      </c>
      <c r="E730" s="2" t="s">
        <v>399</v>
      </c>
      <c r="F730" s="2" t="s">
        <v>398</v>
      </c>
      <c r="G730" s="2" t="str">
        <f>IF(CustomerTable[[#This Row],[Status]]="RESOLVED","Done",IF(CustomerTable[[#This Row],[Status]]="CLOSED","DONE",IF(CustomerTable[[#This Row],[Status]]="DEFERRED","Done","Pending")))</f>
        <v>Done</v>
      </c>
      <c r="H730" s="2" t="s">
        <v>1028</v>
      </c>
      <c r="I730" s="2" t="s">
        <v>391</v>
      </c>
      <c r="J730" s="2" t="s">
        <v>1759</v>
      </c>
      <c r="K730" s="16">
        <v>46135</v>
      </c>
      <c r="M730" s="16">
        <v>46139</v>
      </c>
    </row>
    <row r="731" spans="1:13" x14ac:dyDescent="0.4">
      <c r="A731" s="2" t="s">
        <v>775</v>
      </c>
      <c r="B731" s="2">
        <f>VALUE(REPLACE(CustomerTable[[#This Row],[Ticket]],1,3,""))</f>
        <v>992</v>
      </c>
      <c r="C731" s="2" t="s">
        <v>1023</v>
      </c>
      <c r="D731" s="2" t="s">
        <v>2741</v>
      </c>
      <c r="E731" s="2" t="s">
        <v>399</v>
      </c>
      <c r="F731" s="2" t="s">
        <v>398</v>
      </c>
      <c r="G731" s="2" t="str">
        <f>IF(CustomerTable[[#This Row],[Status]]="RESOLVED","Done",IF(CustomerTable[[#This Row],[Status]]="CLOSED","DONE",IF(CustomerTable[[#This Row],[Status]]="DEFERRED","Done","Pending")))</f>
        <v>Done</v>
      </c>
      <c r="H731" s="2" t="s">
        <v>1034</v>
      </c>
      <c r="I731" s="2" t="s">
        <v>391</v>
      </c>
      <c r="J731" s="2" t="s">
        <v>1760</v>
      </c>
      <c r="K731" s="16">
        <v>46135</v>
      </c>
      <c r="M731" s="16">
        <v>46139</v>
      </c>
    </row>
    <row r="732" spans="1:13" x14ac:dyDescent="0.4">
      <c r="A732" s="2" t="s">
        <v>776</v>
      </c>
      <c r="B732" s="2">
        <f>VALUE(REPLACE(CustomerTable[[#This Row],[Ticket]],1,3,""))</f>
        <v>993</v>
      </c>
      <c r="C732" s="2" t="s">
        <v>1024</v>
      </c>
      <c r="D732" s="2" t="s">
        <v>2742</v>
      </c>
      <c r="E732" s="2" t="s">
        <v>400</v>
      </c>
      <c r="F732" s="2" t="s">
        <v>414</v>
      </c>
      <c r="G732" s="2" t="str">
        <f>IF(CustomerTable[[#This Row],[Status]]="RESOLVED","Done",IF(CustomerTable[[#This Row],[Status]]="CLOSED","DONE",IF(CustomerTable[[#This Row],[Status]]="DEFERRED","Done","Pending")))</f>
        <v>Done</v>
      </c>
      <c r="H732" s="2" t="s">
        <v>1034</v>
      </c>
      <c r="I732" s="2" t="s">
        <v>392</v>
      </c>
      <c r="J732" s="2" t="s">
        <v>1761</v>
      </c>
      <c r="K732" s="16">
        <v>46135</v>
      </c>
      <c r="M732" s="16"/>
    </row>
    <row r="733" spans="1:13" x14ac:dyDescent="0.4">
      <c r="A733" s="2" t="s">
        <v>777</v>
      </c>
      <c r="B733" s="2">
        <f>VALUE(REPLACE(CustomerTable[[#This Row],[Ticket]],1,3,""))</f>
        <v>994</v>
      </c>
      <c r="C733" s="2" t="s">
        <v>1024</v>
      </c>
      <c r="D733" s="2" t="s">
        <v>2743</v>
      </c>
      <c r="E733" s="2" t="s">
        <v>405</v>
      </c>
      <c r="F733" s="2" t="s">
        <v>398</v>
      </c>
      <c r="G733" s="2" t="str">
        <f>IF(CustomerTable[[#This Row],[Status]]="RESOLVED","Done",IF(CustomerTable[[#This Row],[Status]]="CLOSED","DONE",IF(CustomerTable[[#This Row],[Status]]="DEFERRED","Done","Pending")))</f>
        <v>Done</v>
      </c>
      <c r="H733" s="2" t="s">
        <v>11</v>
      </c>
      <c r="I733" s="2" t="s">
        <v>390</v>
      </c>
      <c r="J733" s="2" t="s">
        <v>1762</v>
      </c>
      <c r="K733" s="16">
        <v>46136</v>
      </c>
      <c r="M733" s="16">
        <v>46139</v>
      </c>
    </row>
    <row r="734" spans="1:13" x14ac:dyDescent="0.4">
      <c r="A734" s="2" t="s">
        <v>778</v>
      </c>
      <c r="B734" s="2">
        <f>VALUE(REPLACE(CustomerTable[[#This Row],[Ticket]],1,3,""))</f>
        <v>995</v>
      </c>
      <c r="C734" s="2" t="s">
        <v>1024</v>
      </c>
      <c r="D734" s="2" t="s">
        <v>2744</v>
      </c>
      <c r="E734" s="2" t="s">
        <v>399</v>
      </c>
      <c r="F734" s="2" t="s">
        <v>398</v>
      </c>
      <c r="G734" s="2" t="str">
        <f>IF(CustomerTable[[#This Row],[Status]]="RESOLVED","Done",IF(CustomerTable[[#This Row],[Status]]="CLOSED","DONE",IF(CustomerTable[[#This Row],[Status]]="DEFERRED","Done","Pending")))</f>
        <v>Done</v>
      </c>
      <c r="H734" s="2" t="s">
        <v>1034</v>
      </c>
      <c r="I734" s="2" t="s">
        <v>390</v>
      </c>
      <c r="J734" s="2" t="s">
        <v>1763</v>
      </c>
      <c r="K734" s="16">
        <v>46136</v>
      </c>
      <c r="M734" s="16">
        <v>46147</v>
      </c>
    </row>
    <row r="735" spans="1:13" x14ac:dyDescent="0.4">
      <c r="A735" s="2" t="s">
        <v>779</v>
      </c>
      <c r="B735" s="2">
        <f>VALUE(REPLACE(CustomerTable[[#This Row],[Ticket]],1,3,""))</f>
        <v>996</v>
      </c>
      <c r="C735" s="2" t="s">
        <v>1023</v>
      </c>
      <c r="D735" s="2" t="s">
        <v>2745</v>
      </c>
      <c r="E735" s="2" t="s">
        <v>405</v>
      </c>
      <c r="F735" s="2" t="s">
        <v>398</v>
      </c>
      <c r="G735" s="2" t="str">
        <f>IF(CustomerTable[[#This Row],[Status]]="RESOLVED","Done",IF(CustomerTable[[#This Row],[Status]]="CLOSED","DONE",IF(CustomerTable[[#This Row],[Status]]="DEFERRED","Done","Pending")))</f>
        <v>Done</v>
      </c>
      <c r="H735" s="2" t="s">
        <v>11</v>
      </c>
      <c r="I735" s="2" t="s">
        <v>389</v>
      </c>
      <c r="J735" s="2" t="s">
        <v>1764</v>
      </c>
      <c r="K735" s="16">
        <v>46136</v>
      </c>
      <c r="M735" s="16">
        <v>46155</v>
      </c>
    </row>
    <row r="736" spans="1:13" x14ac:dyDescent="0.4">
      <c r="A736" s="2" t="s">
        <v>780</v>
      </c>
      <c r="B736" s="2">
        <f>VALUE(REPLACE(CustomerTable[[#This Row],[Ticket]],1,3,""))</f>
        <v>997</v>
      </c>
      <c r="C736" s="2" t="s">
        <v>1023</v>
      </c>
      <c r="D736" s="2" t="s">
        <v>2746</v>
      </c>
      <c r="E736" s="2" t="s">
        <v>399</v>
      </c>
      <c r="F736" s="2" t="s">
        <v>398</v>
      </c>
      <c r="G736" s="2" t="str">
        <f>IF(CustomerTable[[#This Row],[Status]]="RESOLVED","Done",IF(CustomerTable[[#This Row],[Status]]="CLOSED","DONE",IF(CustomerTable[[#This Row],[Status]]="DEFERRED","Done","Pending")))</f>
        <v>Done</v>
      </c>
      <c r="H736" s="2" t="s">
        <v>11</v>
      </c>
      <c r="I736" s="2" t="s">
        <v>389</v>
      </c>
      <c r="J736" s="2" t="s">
        <v>1765</v>
      </c>
      <c r="K736" s="16">
        <v>46136</v>
      </c>
      <c r="M736" s="16">
        <v>46153</v>
      </c>
    </row>
    <row r="737" spans="1:13" x14ac:dyDescent="0.4">
      <c r="A737" s="2" t="s">
        <v>781</v>
      </c>
      <c r="B737" s="2">
        <f>VALUE(REPLACE(CustomerTable[[#This Row],[Ticket]],1,3,""))</f>
        <v>998</v>
      </c>
      <c r="C737" s="2" t="s">
        <v>1023</v>
      </c>
      <c r="D737" s="2" t="s">
        <v>2747</v>
      </c>
      <c r="E737" s="2" t="s">
        <v>399</v>
      </c>
      <c r="F737" s="2" t="s">
        <v>398</v>
      </c>
      <c r="G737" s="2" t="str">
        <f>IF(CustomerTable[[#This Row],[Status]]="RESOLVED","Done",IF(CustomerTable[[#This Row],[Status]]="CLOSED","DONE",IF(CustomerTable[[#This Row],[Status]]="DEFERRED","Done","Pending")))</f>
        <v>Done</v>
      </c>
      <c r="H737" s="2" t="s">
        <v>11</v>
      </c>
      <c r="I737" s="2" t="s">
        <v>389</v>
      </c>
      <c r="J737" s="2" t="s">
        <v>1766</v>
      </c>
      <c r="K737" s="16">
        <v>46136</v>
      </c>
      <c r="M737" s="16">
        <v>46147</v>
      </c>
    </row>
    <row r="738" spans="1:13" x14ac:dyDescent="0.4">
      <c r="A738" s="2" t="s">
        <v>783</v>
      </c>
      <c r="B738" s="2">
        <f>VALUE(REPLACE(CustomerTable[[#This Row],[Ticket]],1,3,""))</f>
        <v>999</v>
      </c>
      <c r="C738" s="2" t="s">
        <v>1023</v>
      </c>
      <c r="D738" s="2" t="s">
        <v>2748</v>
      </c>
      <c r="E738" s="2" t="s">
        <v>399</v>
      </c>
      <c r="F738" s="2" t="s">
        <v>398</v>
      </c>
      <c r="G738" s="2" t="str">
        <f>IF(CustomerTable[[#This Row],[Status]]="RESOLVED","Done",IF(CustomerTable[[#This Row],[Status]]="CLOSED","DONE",IF(CustomerTable[[#This Row],[Status]]="DEFERRED","Done","Pending")))</f>
        <v>Done</v>
      </c>
      <c r="H738" s="2" t="s">
        <v>1028</v>
      </c>
      <c r="I738" s="2" t="s">
        <v>389</v>
      </c>
      <c r="J738" s="2" t="s">
        <v>1767</v>
      </c>
      <c r="K738" s="16">
        <v>46139</v>
      </c>
      <c r="M738" s="16">
        <v>46141</v>
      </c>
    </row>
    <row r="739" spans="1:13" x14ac:dyDescent="0.4">
      <c r="A739" s="2" t="s">
        <v>784</v>
      </c>
      <c r="B739" s="2">
        <f>VALUE(REPLACE(CustomerTable[[#This Row],[Ticket]],1,3,""))</f>
        <v>1000</v>
      </c>
      <c r="C739" s="2" t="s">
        <v>1024</v>
      </c>
      <c r="D739" s="2" t="s">
        <v>2749</v>
      </c>
      <c r="E739" s="2" t="s">
        <v>399</v>
      </c>
      <c r="F739" s="2" t="s">
        <v>398</v>
      </c>
      <c r="G739" s="2" t="str">
        <f>IF(CustomerTable[[#This Row],[Status]]="RESOLVED","Done",IF(CustomerTable[[#This Row],[Status]]="CLOSED","DONE",IF(CustomerTable[[#This Row],[Status]]="DEFERRED","Done","Pending")))</f>
        <v>Done</v>
      </c>
      <c r="H739" s="2" t="s">
        <v>1029</v>
      </c>
      <c r="I739" s="2" t="s">
        <v>389</v>
      </c>
      <c r="J739" s="2" t="s">
        <v>1768</v>
      </c>
      <c r="K739" s="16">
        <v>46139</v>
      </c>
      <c r="M739" s="16">
        <v>46146</v>
      </c>
    </row>
    <row r="740" spans="1:13" x14ac:dyDescent="0.4">
      <c r="A740" s="2" t="s">
        <v>785</v>
      </c>
      <c r="B740" s="2">
        <f>VALUE(REPLACE(CustomerTable[[#This Row],[Ticket]],1,3,""))</f>
        <v>1001</v>
      </c>
      <c r="C740" s="2" t="s">
        <v>1023</v>
      </c>
      <c r="D740" s="2" t="s">
        <v>2750</v>
      </c>
      <c r="E740" s="2" t="s">
        <v>405</v>
      </c>
      <c r="F740" s="2" t="s">
        <v>398</v>
      </c>
      <c r="G740" s="2" t="str">
        <f>IF(CustomerTable[[#This Row],[Status]]="RESOLVED","Done",IF(CustomerTable[[#This Row],[Status]]="CLOSED","DONE",IF(CustomerTable[[#This Row],[Status]]="DEFERRED","Done","Pending")))</f>
        <v>Done</v>
      </c>
      <c r="H740" s="2" t="s">
        <v>11</v>
      </c>
      <c r="I740" s="2" t="s">
        <v>394</v>
      </c>
      <c r="J740" s="2" t="s">
        <v>1769</v>
      </c>
      <c r="K740" s="16">
        <v>46139</v>
      </c>
      <c r="M740" s="16">
        <v>46139</v>
      </c>
    </row>
    <row r="741" spans="1:13" x14ac:dyDescent="0.4">
      <c r="A741" s="2" t="s">
        <v>786</v>
      </c>
      <c r="B741" s="2">
        <f>VALUE(REPLACE(CustomerTable[[#This Row],[Ticket]],1,3,""))</f>
        <v>1002</v>
      </c>
      <c r="C741" s="2" t="s">
        <v>1023</v>
      </c>
      <c r="D741" s="2" t="s">
        <v>2751</v>
      </c>
      <c r="E741" s="2" t="s">
        <v>405</v>
      </c>
      <c r="F741" s="2" t="s">
        <v>398</v>
      </c>
      <c r="G741" s="2" t="str">
        <f>IF(CustomerTable[[#This Row],[Status]]="RESOLVED","Done",IF(CustomerTable[[#This Row],[Status]]="CLOSED","DONE",IF(CustomerTable[[#This Row],[Status]]="DEFERRED","Done","Pending")))</f>
        <v>Done</v>
      </c>
      <c r="H741" s="2" t="s">
        <v>11</v>
      </c>
      <c r="I741" s="2" t="s">
        <v>392</v>
      </c>
      <c r="J741" s="2" t="s">
        <v>1770</v>
      </c>
      <c r="K741" s="16">
        <v>46140</v>
      </c>
      <c r="M741" s="16">
        <v>46146</v>
      </c>
    </row>
    <row r="742" spans="1:13" x14ac:dyDescent="0.4">
      <c r="A742" s="2" t="s">
        <v>787</v>
      </c>
      <c r="B742" s="2">
        <f>VALUE(REPLACE(CustomerTable[[#This Row],[Ticket]],1,3,""))</f>
        <v>1003</v>
      </c>
      <c r="C742" s="2" t="s">
        <v>1023</v>
      </c>
      <c r="D742" s="2" t="s">
        <v>2752</v>
      </c>
      <c r="E742" s="2" t="s">
        <v>399</v>
      </c>
      <c r="F742" s="2" t="s">
        <v>398</v>
      </c>
      <c r="G742" s="2" t="str">
        <f>IF(CustomerTable[[#This Row],[Status]]="RESOLVED","Done",IF(CustomerTable[[#This Row],[Status]]="CLOSED","DONE",IF(CustomerTable[[#This Row],[Status]]="DEFERRED","Done","Pending")))</f>
        <v>Done</v>
      </c>
      <c r="H742" s="2" t="s">
        <v>1028</v>
      </c>
      <c r="I742" s="2" t="s">
        <v>389</v>
      </c>
      <c r="J742" s="2" t="s">
        <v>1771</v>
      </c>
      <c r="K742" s="16">
        <v>46140</v>
      </c>
      <c r="M742" s="16">
        <v>46153</v>
      </c>
    </row>
    <row r="743" spans="1:13" x14ac:dyDescent="0.4">
      <c r="A743" s="2" t="s">
        <v>788</v>
      </c>
      <c r="B743" s="2">
        <f>VALUE(REPLACE(CustomerTable[[#This Row],[Ticket]],1,3,""))</f>
        <v>1004</v>
      </c>
      <c r="C743" s="2" t="s">
        <v>1023</v>
      </c>
      <c r="D743" s="2" t="s">
        <v>2753</v>
      </c>
      <c r="E743" s="2" t="s">
        <v>399</v>
      </c>
      <c r="F743" s="2" t="s">
        <v>398</v>
      </c>
      <c r="G743" s="2" t="str">
        <f>IF(CustomerTable[[#This Row],[Status]]="RESOLVED","Done",IF(CustomerTable[[#This Row],[Status]]="CLOSED","DONE",IF(CustomerTable[[#This Row],[Status]]="DEFERRED","Done","Pending")))</f>
        <v>Done</v>
      </c>
      <c r="H743" s="2" t="s">
        <v>1028</v>
      </c>
      <c r="I743" s="2" t="s">
        <v>389</v>
      </c>
      <c r="J743" s="2" t="s">
        <v>1772</v>
      </c>
      <c r="K743" s="16">
        <v>46140</v>
      </c>
      <c r="M743" s="16">
        <v>46153</v>
      </c>
    </row>
    <row r="744" spans="1:13" x14ac:dyDescent="0.4">
      <c r="A744" s="2" t="s">
        <v>789</v>
      </c>
      <c r="B744" s="2">
        <f>VALUE(REPLACE(CustomerTable[[#This Row],[Ticket]],1,3,""))</f>
        <v>1005</v>
      </c>
      <c r="C744" s="2" t="s">
        <v>1023</v>
      </c>
      <c r="D744" s="2" t="s">
        <v>2754</v>
      </c>
      <c r="E744" s="2" t="s">
        <v>400</v>
      </c>
      <c r="F744" s="2" t="s">
        <v>398</v>
      </c>
      <c r="G744" s="2" t="str">
        <f>IF(CustomerTable[[#This Row],[Status]]="RESOLVED","Done",IF(CustomerTable[[#This Row],[Status]]="CLOSED","DONE",IF(CustomerTable[[#This Row],[Status]]="DEFERRED","Done","Pending")))</f>
        <v>Done</v>
      </c>
      <c r="H744" s="2" t="s">
        <v>1028</v>
      </c>
      <c r="I744" s="2" t="s">
        <v>390</v>
      </c>
      <c r="J744" s="2" t="s">
        <v>1773</v>
      </c>
      <c r="K744" s="16">
        <v>46140</v>
      </c>
      <c r="M744" s="16">
        <v>46146</v>
      </c>
    </row>
    <row r="745" spans="1:13" x14ac:dyDescent="0.4">
      <c r="A745" s="2" t="s">
        <v>790</v>
      </c>
      <c r="B745" s="2">
        <f>VALUE(REPLACE(CustomerTable[[#This Row],[Ticket]],1,3,""))</f>
        <v>1006</v>
      </c>
      <c r="C745" s="2" t="s">
        <v>1023</v>
      </c>
      <c r="D745" s="2" t="s">
        <v>2755</v>
      </c>
      <c r="E745" s="2" t="s">
        <v>399</v>
      </c>
      <c r="F745" s="2" t="s">
        <v>398</v>
      </c>
      <c r="G745" s="2" t="str">
        <f>IF(CustomerTable[[#This Row],[Status]]="RESOLVED","Done",IF(CustomerTable[[#This Row],[Status]]="CLOSED","DONE",IF(CustomerTable[[#This Row],[Status]]="DEFERRED","Done","Pending")))</f>
        <v>Done</v>
      </c>
      <c r="H745" s="2" t="s">
        <v>1028</v>
      </c>
      <c r="I745" s="2" t="s">
        <v>391</v>
      </c>
      <c r="J745" s="2" t="s">
        <v>1774</v>
      </c>
      <c r="K745" s="16">
        <v>46140</v>
      </c>
      <c r="M745" s="16">
        <v>46142</v>
      </c>
    </row>
    <row r="746" spans="1:13" x14ac:dyDescent="0.4">
      <c r="A746" s="2" t="s">
        <v>791</v>
      </c>
      <c r="B746" s="2">
        <f>VALUE(REPLACE(CustomerTable[[#This Row],[Ticket]],1,3,""))</f>
        <v>1007</v>
      </c>
      <c r="C746" s="2" t="s">
        <v>1023</v>
      </c>
      <c r="D746" s="2" t="s">
        <v>2756</v>
      </c>
      <c r="E746" s="2" t="s">
        <v>399</v>
      </c>
      <c r="F746" s="2" t="s">
        <v>398</v>
      </c>
      <c r="G746" s="2" t="str">
        <f>IF(CustomerTable[[#This Row],[Status]]="RESOLVED","Done",IF(CustomerTable[[#This Row],[Status]]="CLOSED","DONE",IF(CustomerTable[[#This Row],[Status]]="DEFERRED","Done","Pending")))</f>
        <v>Done</v>
      </c>
      <c r="H746" s="2" t="s">
        <v>1028</v>
      </c>
      <c r="I746" s="2" t="s">
        <v>389</v>
      </c>
      <c r="J746" s="2" t="s">
        <v>1775</v>
      </c>
      <c r="K746" s="16">
        <v>46141</v>
      </c>
      <c r="M746" s="16">
        <v>46148</v>
      </c>
    </row>
    <row r="747" spans="1:13" x14ac:dyDescent="0.4">
      <c r="A747" s="2" t="s">
        <v>792</v>
      </c>
      <c r="B747" s="2">
        <f>VALUE(REPLACE(CustomerTable[[#This Row],[Ticket]],1,3,""))</f>
        <v>1008</v>
      </c>
      <c r="C747" s="2" t="s">
        <v>1023</v>
      </c>
      <c r="D747" s="2" t="s">
        <v>2757</v>
      </c>
      <c r="E747" s="2" t="s">
        <v>399</v>
      </c>
      <c r="F747" s="2" t="s">
        <v>413</v>
      </c>
      <c r="G747" s="2" t="str">
        <f>IF(CustomerTable[[#This Row],[Status]]="RESOLVED","Done",IF(CustomerTable[[#This Row],[Status]]="CLOSED","DONE",IF(CustomerTable[[#This Row],[Status]]="DEFERRED","Done","Pending")))</f>
        <v>DONE</v>
      </c>
      <c r="H747" s="2" t="s">
        <v>11</v>
      </c>
      <c r="I747" s="2" t="s">
        <v>395</v>
      </c>
      <c r="J747" s="2" t="s">
        <v>1776</v>
      </c>
      <c r="K747" s="16">
        <v>46142</v>
      </c>
      <c r="M747" s="16"/>
    </row>
    <row r="748" spans="1:13" x14ac:dyDescent="0.4">
      <c r="A748" s="2" t="s">
        <v>793</v>
      </c>
      <c r="B748" s="2">
        <f>VALUE(REPLACE(CustomerTable[[#This Row],[Ticket]],1,3,""))</f>
        <v>1009</v>
      </c>
      <c r="C748" s="2" t="s">
        <v>1024</v>
      </c>
      <c r="D748" s="2" t="s">
        <v>2758</v>
      </c>
      <c r="E748" s="2" t="s">
        <v>399</v>
      </c>
      <c r="F748" s="2" t="s">
        <v>398</v>
      </c>
      <c r="G748" s="2" t="str">
        <f>IF(CustomerTable[[#This Row],[Status]]="RESOLVED","Done",IF(CustomerTable[[#This Row],[Status]]="CLOSED","DONE",IF(CustomerTable[[#This Row],[Status]]="DEFERRED","Done","Pending")))</f>
        <v>Done</v>
      </c>
      <c r="H748" s="2" t="s">
        <v>1034</v>
      </c>
      <c r="I748" s="2" t="s">
        <v>393</v>
      </c>
      <c r="J748" s="2" t="s">
        <v>1777</v>
      </c>
      <c r="K748" s="16">
        <v>46142</v>
      </c>
      <c r="M748" s="16">
        <v>46146</v>
      </c>
    </row>
    <row r="749" spans="1:13" x14ac:dyDescent="0.4">
      <c r="A749" s="2" t="s">
        <v>794</v>
      </c>
      <c r="B749" s="2">
        <f>VALUE(REPLACE(CustomerTable[[#This Row],[Ticket]],1,3,""))</f>
        <v>1010</v>
      </c>
      <c r="C749" s="2" t="s">
        <v>1024</v>
      </c>
      <c r="D749" s="2" t="s">
        <v>2759</v>
      </c>
      <c r="E749" s="2" t="s">
        <v>400</v>
      </c>
      <c r="F749" s="2" t="s">
        <v>413</v>
      </c>
      <c r="G749" s="2" t="str">
        <f>IF(CustomerTable[[#This Row],[Status]]="RESOLVED","Done",IF(CustomerTable[[#This Row],[Status]]="CLOSED","DONE",IF(CustomerTable[[#This Row],[Status]]="DEFERRED","Done","Pending")))</f>
        <v>DONE</v>
      </c>
      <c r="H749" s="2" t="s">
        <v>11</v>
      </c>
      <c r="I749" s="2" t="s">
        <v>393</v>
      </c>
      <c r="J749" s="2" t="s">
        <v>1778</v>
      </c>
      <c r="K749" s="16">
        <v>46142</v>
      </c>
      <c r="M749" s="16"/>
    </row>
    <row r="750" spans="1:13" x14ac:dyDescent="0.4">
      <c r="A750" s="2" t="s">
        <v>795</v>
      </c>
      <c r="B750" s="2">
        <f>VALUE(REPLACE(CustomerTable[[#This Row],[Ticket]],1,3,""))</f>
        <v>1011</v>
      </c>
      <c r="C750" s="2" t="s">
        <v>1023</v>
      </c>
      <c r="D750" s="2" t="s">
        <v>2760</v>
      </c>
      <c r="E750" s="2" t="s">
        <v>400</v>
      </c>
      <c r="F750" s="2" t="s">
        <v>398</v>
      </c>
      <c r="G750" s="2" t="str">
        <f>IF(CustomerTable[[#This Row],[Status]]="RESOLVED","Done",IF(CustomerTable[[#This Row],[Status]]="CLOSED","DONE",IF(CustomerTable[[#This Row],[Status]]="DEFERRED","Done","Pending")))</f>
        <v>Done</v>
      </c>
      <c r="H750" s="2" t="s">
        <v>11</v>
      </c>
      <c r="I750" s="2" t="s">
        <v>389</v>
      </c>
      <c r="J750" s="2" t="s">
        <v>1779</v>
      </c>
      <c r="K750" s="16">
        <v>46142</v>
      </c>
      <c r="M750" s="16">
        <v>46146</v>
      </c>
    </row>
    <row r="751" spans="1:13" x14ac:dyDescent="0.4">
      <c r="A751" s="2" t="s">
        <v>796</v>
      </c>
      <c r="B751" s="2">
        <f>VALUE(REPLACE(CustomerTable[[#This Row],[Ticket]],1,3,""))</f>
        <v>1012</v>
      </c>
      <c r="C751" s="2" t="s">
        <v>1023</v>
      </c>
      <c r="D751" s="2" t="s">
        <v>2761</v>
      </c>
      <c r="E751" s="2" t="s">
        <v>400</v>
      </c>
      <c r="F751" s="2" t="s">
        <v>398</v>
      </c>
      <c r="G751" s="2" t="str">
        <f>IF(CustomerTable[[#This Row],[Status]]="RESOLVED","Done",IF(CustomerTable[[#This Row],[Status]]="CLOSED","DONE",IF(CustomerTable[[#This Row],[Status]]="DEFERRED","Done","Pending")))</f>
        <v>Done</v>
      </c>
      <c r="H751" s="2" t="s">
        <v>1034</v>
      </c>
      <c r="I751" s="2" t="s">
        <v>389</v>
      </c>
      <c r="J751" s="2" t="s">
        <v>1780</v>
      </c>
      <c r="K751" s="16">
        <v>46142</v>
      </c>
      <c r="M751" s="16">
        <v>46153</v>
      </c>
    </row>
    <row r="752" spans="1:13" x14ac:dyDescent="0.4">
      <c r="A752" s="2" t="s">
        <v>797</v>
      </c>
      <c r="B752" s="2">
        <f>VALUE(REPLACE(CustomerTable[[#This Row],[Ticket]],1,3,""))</f>
        <v>1013</v>
      </c>
      <c r="C752" s="2" t="s">
        <v>1023</v>
      </c>
      <c r="D752" s="2" t="s">
        <v>2762</v>
      </c>
      <c r="E752" s="2" t="s">
        <v>399</v>
      </c>
      <c r="F752" s="2" t="s">
        <v>398</v>
      </c>
      <c r="G752" s="2" t="str">
        <f>IF(CustomerTable[[#This Row],[Status]]="RESOLVED","Done",IF(CustomerTable[[#This Row],[Status]]="CLOSED","DONE",IF(CustomerTable[[#This Row],[Status]]="DEFERRED","Done","Pending")))</f>
        <v>Done</v>
      </c>
      <c r="H752" s="2" t="s">
        <v>1028</v>
      </c>
      <c r="I752" s="2" t="s">
        <v>389</v>
      </c>
      <c r="J752" s="2" t="s">
        <v>1781</v>
      </c>
      <c r="K752" s="16">
        <v>46143</v>
      </c>
      <c r="M752" s="16">
        <v>46153</v>
      </c>
    </row>
    <row r="753" spans="1:13" x14ac:dyDescent="0.4">
      <c r="A753" s="2" t="s">
        <v>798</v>
      </c>
      <c r="B753" s="2">
        <f>VALUE(REPLACE(CustomerTable[[#This Row],[Ticket]],1,3,""))</f>
        <v>1014</v>
      </c>
      <c r="C753" s="2" t="s">
        <v>1024</v>
      </c>
      <c r="D753" s="2" t="s">
        <v>2763</v>
      </c>
      <c r="E753" s="2" t="s">
        <v>405</v>
      </c>
      <c r="F753" s="2" t="s">
        <v>398</v>
      </c>
      <c r="G753" s="2" t="str">
        <f>IF(CustomerTable[[#This Row],[Status]]="RESOLVED","Done",IF(CustomerTable[[#This Row],[Status]]="CLOSED","DONE",IF(CustomerTable[[#This Row],[Status]]="DEFERRED","Done","Pending")))</f>
        <v>Done</v>
      </c>
      <c r="H753" s="2" t="s">
        <v>1034</v>
      </c>
      <c r="I753" s="2" t="s">
        <v>395</v>
      </c>
      <c r="J753" s="2" t="s">
        <v>1782</v>
      </c>
      <c r="K753" s="16">
        <v>46143</v>
      </c>
      <c r="M753" s="16">
        <v>46153</v>
      </c>
    </row>
    <row r="754" spans="1:13" x14ac:dyDescent="0.4">
      <c r="A754" s="2" t="s">
        <v>799</v>
      </c>
      <c r="B754" s="2">
        <f>VALUE(REPLACE(CustomerTable[[#This Row],[Ticket]],1,3,""))</f>
        <v>1015</v>
      </c>
      <c r="C754" s="2" t="s">
        <v>1024</v>
      </c>
      <c r="D754" s="2" t="s">
        <v>2764</v>
      </c>
      <c r="E754" s="2" t="s">
        <v>399</v>
      </c>
      <c r="F754" s="2" t="s">
        <v>398</v>
      </c>
      <c r="G754" s="2" t="str">
        <f>IF(CustomerTable[[#This Row],[Status]]="RESOLVED","Done",IF(CustomerTable[[#This Row],[Status]]="CLOSED","DONE",IF(CustomerTable[[#This Row],[Status]]="DEFERRED","Done","Pending")))</f>
        <v>Done</v>
      </c>
      <c r="H754" s="2" t="s">
        <v>1034</v>
      </c>
      <c r="I754" s="2" t="s">
        <v>395</v>
      </c>
      <c r="J754" s="2" t="s">
        <v>1783</v>
      </c>
      <c r="K754" s="16">
        <v>46143</v>
      </c>
      <c r="M754" s="16">
        <v>46153</v>
      </c>
    </row>
    <row r="755" spans="1:13" x14ac:dyDescent="0.4">
      <c r="A755" s="2" t="s">
        <v>800</v>
      </c>
      <c r="B755" s="2">
        <f>VALUE(REPLACE(CustomerTable[[#This Row],[Ticket]],1,3,""))</f>
        <v>1016</v>
      </c>
      <c r="C755" s="2" t="s">
        <v>1024</v>
      </c>
      <c r="D755" s="2" t="s">
        <v>2765</v>
      </c>
      <c r="E755" s="2" t="s">
        <v>400</v>
      </c>
      <c r="F755" s="2" t="s">
        <v>398</v>
      </c>
      <c r="G755" s="2" t="str">
        <f>IF(CustomerTable[[#This Row],[Status]]="RESOLVED","Done",IF(CustomerTable[[#This Row],[Status]]="CLOSED","DONE",IF(CustomerTable[[#This Row],[Status]]="DEFERRED","Done","Pending")))</f>
        <v>Done</v>
      </c>
      <c r="H755" s="2" t="s">
        <v>1029</v>
      </c>
      <c r="I755" s="2" t="s">
        <v>395</v>
      </c>
      <c r="J755" s="2" t="s">
        <v>1784</v>
      </c>
      <c r="K755" s="16">
        <v>46146</v>
      </c>
      <c r="M755" s="16">
        <v>46163</v>
      </c>
    </row>
    <row r="756" spans="1:13" x14ac:dyDescent="0.4">
      <c r="A756" s="2" t="s">
        <v>801</v>
      </c>
      <c r="B756" s="2">
        <f>VALUE(REPLACE(CustomerTable[[#This Row],[Ticket]],1,3,""))</f>
        <v>1017</v>
      </c>
      <c r="C756" s="2" t="s">
        <v>1024</v>
      </c>
      <c r="D756" s="2" t="s">
        <v>2766</v>
      </c>
      <c r="E756" s="2" t="s">
        <v>400</v>
      </c>
      <c r="F756" s="2" t="s">
        <v>398</v>
      </c>
      <c r="G756" s="2" t="str">
        <f>IF(CustomerTable[[#This Row],[Status]]="RESOLVED","Done",IF(CustomerTable[[#This Row],[Status]]="CLOSED","DONE",IF(CustomerTable[[#This Row],[Status]]="DEFERRED","Done","Pending")))</f>
        <v>Done</v>
      </c>
      <c r="H756" s="2" t="s">
        <v>1034</v>
      </c>
      <c r="I756" s="2" t="s">
        <v>395</v>
      </c>
      <c r="J756" s="2" t="s">
        <v>1785</v>
      </c>
      <c r="K756" s="16">
        <v>46146</v>
      </c>
      <c r="M756" s="16">
        <v>46149</v>
      </c>
    </row>
    <row r="757" spans="1:13" x14ac:dyDescent="0.4">
      <c r="A757" s="2" t="s">
        <v>802</v>
      </c>
      <c r="B757" s="2">
        <f>VALUE(REPLACE(CustomerTable[[#This Row],[Ticket]],1,3,""))</f>
        <v>1018</v>
      </c>
      <c r="C757" s="2" t="s">
        <v>1023</v>
      </c>
      <c r="D757" s="2" t="s">
        <v>2767</v>
      </c>
      <c r="E757" s="2" t="s">
        <v>405</v>
      </c>
      <c r="F757" s="2" t="s">
        <v>398</v>
      </c>
      <c r="G757" s="2" t="str">
        <f>IF(CustomerTable[[#This Row],[Status]]="RESOLVED","Done",IF(CustomerTable[[#This Row],[Status]]="CLOSED","DONE",IF(CustomerTable[[#This Row],[Status]]="DEFERRED","Done","Pending")))</f>
        <v>Done</v>
      </c>
      <c r="H757" s="2" t="s">
        <v>1028</v>
      </c>
      <c r="I757" s="2" t="s">
        <v>391</v>
      </c>
      <c r="J757" s="2" t="s">
        <v>1786</v>
      </c>
      <c r="K757" s="16">
        <v>46146</v>
      </c>
      <c r="M757" s="16">
        <v>46189</v>
      </c>
    </row>
    <row r="758" spans="1:13" x14ac:dyDescent="0.4">
      <c r="A758" s="2" t="s">
        <v>803</v>
      </c>
      <c r="B758" s="2">
        <f>VALUE(REPLACE(CustomerTable[[#This Row],[Ticket]],1,3,""))</f>
        <v>1019</v>
      </c>
      <c r="C758" s="2" t="s">
        <v>1023</v>
      </c>
      <c r="D758" s="2" t="s">
        <v>2768</v>
      </c>
      <c r="E758" s="2" t="s">
        <v>399</v>
      </c>
      <c r="F758" s="2" t="s">
        <v>398</v>
      </c>
      <c r="G758" s="2" t="str">
        <f>IF(CustomerTable[[#This Row],[Status]]="RESOLVED","Done",IF(CustomerTable[[#This Row],[Status]]="CLOSED","DONE",IF(CustomerTable[[#This Row],[Status]]="DEFERRED","Done","Pending")))</f>
        <v>Done</v>
      </c>
      <c r="H758" s="2" t="s">
        <v>1028</v>
      </c>
      <c r="I758" s="2" t="s">
        <v>391</v>
      </c>
      <c r="J758" s="2" t="s">
        <v>1787</v>
      </c>
      <c r="K758" s="16">
        <v>46146</v>
      </c>
      <c r="M758" s="16">
        <v>46155</v>
      </c>
    </row>
    <row r="759" spans="1:13" x14ac:dyDescent="0.4">
      <c r="A759" s="2" t="s">
        <v>804</v>
      </c>
      <c r="B759" s="2">
        <f>VALUE(REPLACE(CustomerTable[[#This Row],[Ticket]],1,3,""))</f>
        <v>1020</v>
      </c>
      <c r="C759" s="2" t="s">
        <v>1023</v>
      </c>
      <c r="D759" s="2" t="s">
        <v>2769</v>
      </c>
      <c r="E759" s="2" t="s">
        <v>405</v>
      </c>
      <c r="F759" s="2" t="s">
        <v>398</v>
      </c>
      <c r="G759" s="2" t="str">
        <f>IF(CustomerTable[[#This Row],[Status]]="RESOLVED","Done",IF(CustomerTable[[#This Row],[Status]]="CLOSED","DONE",IF(CustomerTable[[#This Row],[Status]]="DEFERRED","Done","Pending")))</f>
        <v>Done</v>
      </c>
      <c r="H759" s="2" t="s">
        <v>11</v>
      </c>
      <c r="I759" s="2" t="s">
        <v>393</v>
      </c>
      <c r="J759" s="2" t="s">
        <v>1788</v>
      </c>
      <c r="K759" s="16">
        <v>46146</v>
      </c>
      <c r="M759" s="16">
        <v>46160</v>
      </c>
    </row>
    <row r="760" spans="1:13" x14ac:dyDescent="0.4">
      <c r="A760" s="2" t="s">
        <v>805</v>
      </c>
      <c r="B760" s="2">
        <f>VALUE(REPLACE(CustomerTable[[#This Row],[Ticket]],1,3,""))</f>
        <v>1021</v>
      </c>
      <c r="C760" s="2" t="s">
        <v>1023</v>
      </c>
      <c r="D760" s="2" t="s">
        <v>2770</v>
      </c>
      <c r="E760" s="2" t="s">
        <v>405</v>
      </c>
      <c r="F760" s="2" t="s">
        <v>398</v>
      </c>
      <c r="G760" s="2" t="str">
        <f>IF(CustomerTable[[#This Row],[Status]]="RESOLVED","Done",IF(CustomerTable[[#This Row],[Status]]="CLOSED","DONE",IF(CustomerTable[[#This Row],[Status]]="DEFERRED","Done","Pending")))</f>
        <v>Done</v>
      </c>
      <c r="H760" s="2" t="s">
        <v>11</v>
      </c>
      <c r="I760" s="2" t="s">
        <v>394</v>
      </c>
      <c r="J760" s="2" t="s">
        <v>1789</v>
      </c>
      <c r="K760" s="16">
        <v>46146</v>
      </c>
      <c r="M760" s="16">
        <v>46153</v>
      </c>
    </row>
    <row r="761" spans="1:13" x14ac:dyDescent="0.4">
      <c r="A761" s="2" t="s">
        <v>806</v>
      </c>
      <c r="B761" s="2">
        <f>VALUE(REPLACE(CustomerTable[[#This Row],[Ticket]],1,3,""))</f>
        <v>1022</v>
      </c>
      <c r="C761" s="2" t="s">
        <v>1024</v>
      </c>
      <c r="D761" s="2" t="s">
        <v>2771</v>
      </c>
      <c r="E761" s="2" t="s">
        <v>399</v>
      </c>
      <c r="F761" s="2" t="s">
        <v>398</v>
      </c>
      <c r="G761" s="2" t="str">
        <f>IF(CustomerTable[[#This Row],[Status]]="RESOLVED","Done",IF(CustomerTable[[#This Row],[Status]]="CLOSED","DONE",IF(CustomerTable[[#This Row],[Status]]="DEFERRED","Done","Pending")))</f>
        <v>Done</v>
      </c>
      <c r="H761" s="2" t="s">
        <v>11</v>
      </c>
      <c r="I761" s="2" t="s">
        <v>395</v>
      </c>
      <c r="J761" s="2" t="s">
        <v>1790</v>
      </c>
      <c r="K761" s="16">
        <v>46146</v>
      </c>
      <c r="M761" s="16">
        <v>46156</v>
      </c>
    </row>
    <row r="762" spans="1:13" x14ac:dyDescent="0.4">
      <c r="A762" s="2" t="s">
        <v>807</v>
      </c>
      <c r="B762" s="2">
        <f>VALUE(REPLACE(CustomerTable[[#This Row],[Ticket]],1,3,""))</f>
        <v>1023</v>
      </c>
      <c r="C762" s="2" t="s">
        <v>1024</v>
      </c>
      <c r="D762" s="2" t="s">
        <v>2772</v>
      </c>
      <c r="E762" s="2" t="s">
        <v>399</v>
      </c>
      <c r="F762" s="2" t="s">
        <v>398</v>
      </c>
      <c r="G762" s="2" t="str">
        <f>IF(CustomerTable[[#This Row],[Status]]="RESOLVED","Done",IF(CustomerTable[[#This Row],[Status]]="CLOSED","DONE",IF(CustomerTable[[#This Row],[Status]]="DEFERRED","Done","Pending")))</f>
        <v>Done</v>
      </c>
      <c r="H762" s="2" t="s">
        <v>1034</v>
      </c>
      <c r="I762" s="2" t="s">
        <v>393</v>
      </c>
      <c r="J762" s="2" t="s">
        <v>1791</v>
      </c>
      <c r="K762" s="16">
        <v>46146</v>
      </c>
      <c r="M762" s="16">
        <v>46154</v>
      </c>
    </row>
    <row r="763" spans="1:13" x14ac:dyDescent="0.4">
      <c r="A763" s="2" t="s">
        <v>808</v>
      </c>
      <c r="B763" s="2">
        <f>VALUE(REPLACE(CustomerTable[[#This Row],[Ticket]],1,3,""))</f>
        <v>1024</v>
      </c>
      <c r="C763" s="2" t="s">
        <v>1024</v>
      </c>
      <c r="D763" s="2" t="s">
        <v>2773</v>
      </c>
      <c r="E763" s="2" t="s">
        <v>399</v>
      </c>
      <c r="F763" s="2" t="s">
        <v>398</v>
      </c>
      <c r="G763" s="2" t="str">
        <f>IF(CustomerTable[[#This Row],[Status]]="RESOLVED","Done",IF(CustomerTable[[#This Row],[Status]]="CLOSED","DONE",IF(CustomerTable[[#This Row],[Status]]="DEFERRED","Done","Pending")))</f>
        <v>Done</v>
      </c>
      <c r="H763" s="2" t="s">
        <v>1034</v>
      </c>
      <c r="I763" s="2" t="s">
        <v>393</v>
      </c>
      <c r="J763" s="2" t="s">
        <v>1792</v>
      </c>
      <c r="K763" s="16">
        <v>46146</v>
      </c>
      <c r="M763" s="16">
        <v>46153</v>
      </c>
    </row>
    <row r="764" spans="1:13" x14ac:dyDescent="0.4">
      <c r="A764" s="2" t="s">
        <v>809</v>
      </c>
      <c r="B764" s="2">
        <f>VALUE(REPLACE(CustomerTable[[#This Row],[Ticket]],1,3,""))</f>
        <v>1025</v>
      </c>
      <c r="C764" s="2" t="s">
        <v>1023</v>
      </c>
      <c r="D764" s="2" t="s">
        <v>2774</v>
      </c>
      <c r="E764" s="2" t="s">
        <v>400</v>
      </c>
      <c r="F764" s="2" t="s">
        <v>398</v>
      </c>
      <c r="G764" s="2" t="str">
        <f>IF(CustomerTable[[#This Row],[Status]]="RESOLVED","Done",IF(CustomerTable[[#This Row],[Status]]="CLOSED","DONE",IF(CustomerTable[[#This Row],[Status]]="DEFERRED","Done","Pending")))</f>
        <v>Done</v>
      </c>
      <c r="H764" s="2" t="s">
        <v>1034</v>
      </c>
      <c r="I764" s="2" t="s">
        <v>392</v>
      </c>
      <c r="J764" s="2" t="s">
        <v>1793</v>
      </c>
      <c r="K764" s="16">
        <v>46147</v>
      </c>
      <c r="M764" s="16">
        <v>46155</v>
      </c>
    </row>
    <row r="765" spans="1:13" x14ac:dyDescent="0.4">
      <c r="A765" s="2" t="s">
        <v>810</v>
      </c>
      <c r="B765" s="2">
        <f>VALUE(REPLACE(CustomerTable[[#This Row],[Ticket]],1,3,""))</f>
        <v>1026</v>
      </c>
      <c r="C765" s="2" t="s">
        <v>1023</v>
      </c>
      <c r="D765" s="2" t="s">
        <v>2775</v>
      </c>
      <c r="E765" s="2" t="s">
        <v>399</v>
      </c>
      <c r="F765" s="2" t="s">
        <v>398</v>
      </c>
      <c r="G765" s="2" t="str">
        <f>IF(CustomerTable[[#This Row],[Status]]="RESOLVED","Done",IF(CustomerTable[[#This Row],[Status]]="CLOSED","DONE",IF(CustomerTable[[#This Row],[Status]]="DEFERRED","Done","Pending")))</f>
        <v>Done</v>
      </c>
      <c r="H765" s="2" t="s">
        <v>11</v>
      </c>
      <c r="I765" s="2" t="s">
        <v>390</v>
      </c>
      <c r="J765" s="2" t="s">
        <v>1794</v>
      </c>
      <c r="K765" s="16">
        <v>46147</v>
      </c>
      <c r="M765" s="16">
        <v>46153</v>
      </c>
    </row>
    <row r="766" spans="1:13" x14ac:dyDescent="0.4">
      <c r="A766" s="2" t="s">
        <v>811</v>
      </c>
      <c r="B766" s="2">
        <f>VALUE(REPLACE(CustomerTable[[#This Row],[Ticket]],1,3,""))</f>
        <v>1027</v>
      </c>
      <c r="C766" s="2" t="s">
        <v>1023</v>
      </c>
      <c r="D766" s="2" t="s">
        <v>2776</v>
      </c>
      <c r="E766" s="2" t="s">
        <v>399</v>
      </c>
      <c r="F766" s="2" t="s">
        <v>398</v>
      </c>
      <c r="G766" s="2" t="str">
        <f>IF(CustomerTable[[#This Row],[Status]]="RESOLVED","Done",IF(CustomerTable[[#This Row],[Status]]="CLOSED","DONE",IF(CustomerTable[[#This Row],[Status]]="DEFERRED","Done","Pending")))</f>
        <v>Done</v>
      </c>
      <c r="H766" s="2" t="s">
        <v>1028</v>
      </c>
      <c r="I766" s="2" t="s">
        <v>388</v>
      </c>
      <c r="J766" s="2" t="s">
        <v>1795</v>
      </c>
      <c r="K766" s="16">
        <v>46147</v>
      </c>
      <c r="M766" s="16">
        <v>46153</v>
      </c>
    </row>
    <row r="767" spans="1:13" x14ac:dyDescent="0.4">
      <c r="A767" s="2" t="s">
        <v>812</v>
      </c>
      <c r="B767" s="2">
        <f>VALUE(REPLACE(CustomerTable[[#This Row],[Ticket]],1,3,""))</f>
        <v>1028</v>
      </c>
      <c r="C767" s="2" t="s">
        <v>1023</v>
      </c>
      <c r="D767" s="2" t="s">
        <v>2777</v>
      </c>
      <c r="E767" s="2" t="s">
        <v>399</v>
      </c>
      <c r="F767" s="2" t="s">
        <v>398</v>
      </c>
      <c r="G767" s="2" t="str">
        <f>IF(CustomerTable[[#This Row],[Status]]="RESOLVED","Done",IF(CustomerTable[[#This Row],[Status]]="CLOSED","DONE",IF(CustomerTable[[#This Row],[Status]]="DEFERRED","Done","Pending")))</f>
        <v>Done</v>
      </c>
      <c r="H767" s="2" t="s">
        <v>11</v>
      </c>
      <c r="I767" s="2" t="s">
        <v>393</v>
      </c>
      <c r="J767" s="2" t="s">
        <v>1796</v>
      </c>
      <c r="K767" s="16">
        <v>46147</v>
      </c>
      <c r="M767" s="16">
        <v>46153</v>
      </c>
    </row>
    <row r="768" spans="1:13" x14ac:dyDescent="0.4">
      <c r="A768" s="2" t="s">
        <v>813</v>
      </c>
      <c r="B768" s="2">
        <f>VALUE(REPLACE(CustomerTable[[#This Row],[Ticket]],1,3,""))</f>
        <v>1029</v>
      </c>
      <c r="C768" s="2" t="s">
        <v>1023</v>
      </c>
      <c r="D768" s="2" t="s">
        <v>2778</v>
      </c>
      <c r="E768" s="2" t="s">
        <v>405</v>
      </c>
      <c r="F768" s="2" t="s">
        <v>398</v>
      </c>
      <c r="G768" s="2" t="str">
        <f>IF(CustomerTable[[#This Row],[Status]]="RESOLVED","Done",IF(CustomerTable[[#This Row],[Status]]="CLOSED","DONE",IF(CustomerTable[[#This Row],[Status]]="DEFERRED","Done","Pending")))</f>
        <v>Done</v>
      </c>
      <c r="H768" s="2" t="s">
        <v>1028</v>
      </c>
      <c r="I768" s="2" t="s">
        <v>390</v>
      </c>
      <c r="J768" s="2" t="s">
        <v>1797</v>
      </c>
      <c r="K768" s="16">
        <v>46147</v>
      </c>
      <c r="M768" s="16">
        <v>46167</v>
      </c>
    </row>
    <row r="769" spans="1:13" x14ac:dyDescent="0.4">
      <c r="A769" s="2" t="s">
        <v>814</v>
      </c>
      <c r="B769" s="2">
        <f>VALUE(REPLACE(CustomerTable[[#This Row],[Ticket]],1,3,""))</f>
        <v>1030</v>
      </c>
      <c r="C769" s="2" t="s">
        <v>1023</v>
      </c>
      <c r="D769" s="2" t="s">
        <v>2779</v>
      </c>
      <c r="E769" s="2" t="s">
        <v>399</v>
      </c>
      <c r="F769" s="2" t="s">
        <v>398</v>
      </c>
      <c r="G769" s="2" t="str">
        <f>IF(CustomerTable[[#This Row],[Status]]="RESOLVED","Done",IF(CustomerTable[[#This Row],[Status]]="CLOSED","DONE",IF(CustomerTable[[#This Row],[Status]]="DEFERRED","Done","Pending")))</f>
        <v>Done</v>
      </c>
      <c r="H769" s="2" t="s">
        <v>11</v>
      </c>
      <c r="I769" s="2" t="s">
        <v>393</v>
      </c>
      <c r="J769" s="2" t="s">
        <v>1798</v>
      </c>
      <c r="K769" s="16">
        <v>46148</v>
      </c>
      <c r="M769" s="16">
        <v>46153</v>
      </c>
    </row>
    <row r="770" spans="1:13" x14ac:dyDescent="0.4">
      <c r="A770" s="2" t="s">
        <v>815</v>
      </c>
      <c r="B770" s="2">
        <f>VALUE(REPLACE(CustomerTable[[#This Row],[Ticket]],1,3,""))</f>
        <v>1031</v>
      </c>
      <c r="C770" s="2" t="s">
        <v>1023</v>
      </c>
      <c r="D770" s="2" t="s">
        <v>2780</v>
      </c>
      <c r="E770" s="2" t="s">
        <v>399</v>
      </c>
      <c r="F770" s="2" t="s">
        <v>398</v>
      </c>
      <c r="G770" s="2" t="str">
        <f>IF(CustomerTable[[#This Row],[Status]]="RESOLVED","Done",IF(CustomerTable[[#This Row],[Status]]="CLOSED","DONE",IF(CustomerTable[[#This Row],[Status]]="DEFERRED","Done","Pending")))</f>
        <v>Done</v>
      </c>
      <c r="H770" s="2" t="s">
        <v>1028</v>
      </c>
      <c r="I770" s="2" t="s">
        <v>389</v>
      </c>
      <c r="J770" s="2" t="s">
        <v>1799</v>
      </c>
      <c r="K770" s="16">
        <v>46148</v>
      </c>
      <c r="M770" s="16">
        <v>46153</v>
      </c>
    </row>
    <row r="771" spans="1:13" x14ac:dyDescent="0.4">
      <c r="A771" s="2" t="s">
        <v>816</v>
      </c>
      <c r="B771" s="2">
        <f>VALUE(REPLACE(CustomerTable[[#This Row],[Ticket]],1,3,""))</f>
        <v>1032</v>
      </c>
      <c r="C771" s="2" t="s">
        <v>1023</v>
      </c>
      <c r="D771" s="2" t="s">
        <v>2781</v>
      </c>
      <c r="E771" s="2" t="s">
        <v>399</v>
      </c>
      <c r="F771" s="2" t="s">
        <v>398</v>
      </c>
      <c r="G771" s="2" t="str">
        <f>IF(CustomerTable[[#This Row],[Status]]="RESOLVED","Done",IF(CustomerTable[[#This Row],[Status]]="CLOSED","DONE",IF(CustomerTable[[#This Row],[Status]]="DEFERRED","Done","Pending")))</f>
        <v>Done</v>
      </c>
      <c r="H771" s="2" t="s">
        <v>1028</v>
      </c>
      <c r="I771" s="2" t="s">
        <v>391</v>
      </c>
      <c r="J771" s="2" t="s">
        <v>1800</v>
      </c>
      <c r="K771" s="16">
        <v>46149</v>
      </c>
      <c r="M771" s="16">
        <v>46150</v>
      </c>
    </row>
    <row r="772" spans="1:13" x14ac:dyDescent="0.4">
      <c r="A772" s="2" t="s">
        <v>817</v>
      </c>
      <c r="B772" s="2">
        <f>VALUE(REPLACE(CustomerTable[[#This Row],[Ticket]],1,3,""))</f>
        <v>1033</v>
      </c>
      <c r="C772" s="2" t="s">
        <v>1023</v>
      </c>
      <c r="D772" s="2" t="s">
        <v>2782</v>
      </c>
      <c r="E772" s="2" t="s">
        <v>399</v>
      </c>
      <c r="F772" s="2" t="s">
        <v>398</v>
      </c>
      <c r="G772" s="2" t="str">
        <f>IF(CustomerTable[[#This Row],[Status]]="RESOLVED","Done",IF(CustomerTable[[#This Row],[Status]]="CLOSED","DONE",IF(CustomerTable[[#This Row],[Status]]="DEFERRED","Done","Pending")))</f>
        <v>Done</v>
      </c>
      <c r="H772" s="2" t="s">
        <v>1028</v>
      </c>
      <c r="I772" s="2" t="s">
        <v>389</v>
      </c>
      <c r="J772" s="2" t="s">
        <v>1801</v>
      </c>
      <c r="K772" s="16">
        <v>46149</v>
      </c>
      <c r="M772" s="16">
        <v>46153</v>
      </c>
    </row>
    <row r="773" spans="1:13" x14ac:dyDescent="0.4">
      <c r="A773" s="2" t="s">
        <v>818</v>
      </c>
      <c r="B773" s="2">
        <f>VALUE(REPLACE(CustomerTable[[#This Row],[Ticket]],1,3,""))</f>
        <v>1034</v>
      </c>
      <c r="C773" s="2" t="s">
        <v>1023</v>
      </c>
      <c r="D773" s="2" t="s">
        <v>2783</v>
      </c>
      <c r="E773" s="2" t="s">
        <v>405</v>
      </c>
      <c r="F773" s="2" t="s">
        <v>398</v>
      </c>
      <c r="G773" s="2" t="str">
        <f>IF(CustomerTable[[#This Row],[Status]]="RESOLVED","Done",IF(CustomerTable[[#This Row],[Status]]="CLOSED","DONE",IF(CustomerTable[[#This Row],[Status]]="DEFERRED","Done","Pending")))</f>
        <v>Done</v>
      </c>
      <c r="H773" s="2" t="s">
        <v>1028</v>
      </c>
      <c r="I773" s="2" t="s">
        <v>392</v>
      </c>
      <c r="J773" s="2" t="s">
        <v>1802</v>
      </c>
      <c r="K773" s="16">
        <v>46149</v>
      </c>
      <c r="M773" s="16">
        <v>46157</v>
      </c>
    </row>
    <row r="774" spans="1:13" x14ac:dyDescent="0.4">
      <c r="A774" s="2" t="s">
        <v>819</v>
      </c>
      <c r="B774" s="2">
        <f>VALUE(REPLACE(CustomerTable[[#This Row],[Ticket]],1,3,""))</f>
        <v>1035</v>
      </c>
      <c r="C774" s="2" t="s">
        <v>1023</v>
      </c>
      <c r="D774" s="2" t="s">
        <v>2784</v>
      </c>
      <c r="E774" s="2" t="s">
        <v>399</v>
      </c>
      <c r="F774" s="2" t="s">
        <v>398</v>
      </c>
      <c r="G774" s="2" t="str">
        <f>IF(CustomerTable[[#This Row],[Status]]="RESOLVED","Done",IF(CustomerTable[[#This Row],[Status]]="CLOSED","DONE",IF(CustomerTable[[#This Row],[Status]]="DEFERRED","Done","Pending")))</f>
        <v>Done</v>
      </c>
      <c r="H774" s="2" t="s">
        <v>11</v>
      </c>
      <c r="I774" s="2" t="s">
        <v>393</v>
      </c>
      <c r="J774" s="2" t="s">
        <v>1803</v>
      </c>
      <c r="K774" s="16">
        <v>46149</v>
      </c>
      <c r="M774" s="16">
        <v>46156</v>
      </c>
    </row>
    <row r="775" spans="1:13" x14ac:dyDescent="0.4">
      <c r="A775" s="2" t="s">
        <v>820</v>
      </c>
      <c r="B775" s="2">
        <f>VALUE(REPLACE(CustomerTable[[#This Row],[Ticket]],1,3,""))</f>
        <v>1036</v>
      </c>
      <c r="C775" s="2" t="s">
        <v>1023</v>
      </c>
      <c r="D775" s="2" t="s">
        <v>2785</v>
      </c>
      <c r="E775" s="2" t="s">
        <v>399</v>
      </c>
      <c r="F775" s="2" t="s">
        <v>398</v>
      </c>
      <c r="G775" s="2" t="str">
        <f>IF(CustomerTable[[#This Row],[Status]]="RESOLVED","Done",IF(CustomerTable[[#This Row],[Status]]="CLOSED","DONE",IF(CustomerTable[[#This Row],[Status]]="DEFERRED","Done","Pending")))</f>
        <v>Done</v>
      </c>
      <c r="H775" s="2" t="s">
        <v>1028</v>
      </c>
      <c r="I775" s="2" t="s">
        <v>391</v>
      </c>
      <c r="J775" s="2" t="s">
        <v>1804</v>
      </c>
      <c r="K775" s="16">
        <v>46149</v>
      </c>
      <c r="M775" s="16">
        <v>46150</v>
      </c>
    </row>
    <row r="776" spans="1:13" x14ac:dyDescent="0.4">
      <c r="A776" s="2" t="s">
        <v>821</v>
      </c>
      <c r="B776" s="2">
        <f>VALUE(REPLACE(CustomerTable[[#This Row],[Ticket]],1,3,""))</f>
        <v>1037</v>
      </c>
      <c r="C776" s="2" t="s">
        <v>1023</v>
      </c>
      <c r="D776" s="2" t="s">
        <v>2786</v>
      </c>
      <c r="E776" s="2" t="s">
        <v>405</v>
      </c>
      <c r="F776" s="2" t="s">
        <v>398</v>
      </c>
      <c r="G776" s="2" t="str">
        <f>IF(CustomerTable[[#This Row],[Status]]="RESOLVED","Done",IF(CustomerTable[[#This Row],[Status]]="CLOSED","DONE",IF(CustomerTable[[#This Row],[Status]]="DEFERRED","Done","Pending")))</f>
        <v>Done</v>
      </c>
      <c r="H776" s="2" t="s">
        <v>1028</v>
      </c>
      <c r="I776" s="2" t="s">
        <v>391</v>
      </c>
      <c r="J776" s="2" t="s">
        <v>1805</v>
      </c>
      <c r="K776" s="16">
        <v>46150</v>
      </c>
      <c r="M776" s="16">
        <v>46167</v>
      </c>
    </row>
    <row r="777" spans="1:13" x14ac:dyDescent="0.4">
      <c r="A777" s="2" t="s">
        <v>822</v>
      </c>
      <c r="B777" s="2">
        <f>VALUE(REPLACE(CustomerTable[[#This Row],[Ticket]],1,3,""))</f>
        <v>1038</v>
      </c>
      <c r="C777" s="2" t="s">
        <v>1023</v>
      </c>
      <c r="D777" s="2" t="s">
        <v>2787</v>
      </c>
      <c r="E777" s="2" t="s">
        <v>399</v>
      </c>
      <c r="F777" s="2" t="s">
        <v>398</v>
      </c>
      <c r="G777" s="2" t="str">
        <f>IF(CustomerTable[[#This Row],[Status]]="RESOLVED","Done",IF(CustomerTable[[#This Row],[Status]]="CLOSED","DONE",IF(CustomerTable[[#This Row],[Status]]="DEFERRED","Done","Pending")))</f>
        <v>Done</v>
      </c>
      <c r="H777" s="2" t="s">
        <v>1028</v>
      </c>
      <c r="I777" s="2" t="s">
        <v>391</v>
      </c>
      <c r="J777" s="2" t="s">
        <v>1806</v>
      </c>
      <c r="K777" s="16">
        <v>46150</v>
      </c>
      <c r="M777" s="16">
        <v>46153</v>
      </c>
    </row>
    <row r="778" spans="1:13" x14ac:dyDescent="0.4">
      <c r="A778" s="2" t="s">
        <v>823</v>
      </c>
      <c r="B778" s="2">
        <f>VALUE(REPLACE(CustomerTable[[#This Row],[Ticket]],1,3,""))</f>
        <v>1039</v>
      </c>
      <c r="C778" s="2" t="s">
        <v>1023</v>
      </c>
      <c r="D778" s="2" t="s">
        <v>2788</v>
      </c>
      <c r="E778" s="2" t="s">
        <v>399</v>
      </c>
      <c r="F778" s="2" t="s">
        <v>398</v>
      </c>
      <c r="G778" s="2" t="str">
        <f>IF(CustomerTable[[#This Row],[Status]]="RESOLVED","Done",IF(CustomerTable[[#This Row],[Status]]="CLOSED","DONE",IF(CustomerTable[[#This Row],[Status]]="DEFERRED","Done","Pending")))</f>
        <v>Done</v>
      </c>
      <c r="H778" s="2" t="s">
        <v>11</v>
      </c>
      <c r="I778" s="2" t="s">
        <v>393</v>
      </c>
      <c r="J778" s="2" t="s">
        <v>1807</v>
      </c>
      <c r="K778" s="16">
        <v>46150</v>
      </c>
      <c r="M778" s="16">
        <v>46160</v>
      </c>
    </row>
    <row r="779" spans="1:13" x14ac:dyDescent="0.4">
      <c r="A779" s="2" t="s">
        <v>824</v>
      </c>
      <c r="B779" s="2">
        <f>VALUE(REPLACE(CustomerTable[[#This Row],[Ticket]],1,3,""))</f>
        <v>1040</v>
      </c>
      <c r="C779" s="2" t="s">
        <v>1023</v>
      </c>
      <c r="D779" s="2" t="s">
        <v>2789</v>
      </c>
      <c r="E779" s="2" t="s">
        <v>399</v>
      </c>
      <c r="F779" s="2" t="s">
        <v>398</v>
      </c>
      <c r="G779" s="2" t="str">
        <f>IF(CustomerTable[[#This Row],[Status]]="RESOLVED","Done",IF(CustomerTable[[#This Row],[Status]]="CLOSED","DONE",IF(CustomerTable[[#This Row],[Status]]="DEFERRED","Done","Pending")))</f>
        <v>Done</v>
      </c>
      <c r="H779" s="2" t="s">
        <v>11</v>
      </c>
      <c r="I779" s="2" t="s">
        <v>393</v>
      </c>
      <c r="J779" s="2" t="s">
        <v>1808</v>
      </c>
      <c r="K779" s="16">
        <v>46150</v>
      </c>
      <c r="M779" s="16">
        <v>46151</v>
      </c>
    </row>
    <row r="780" spans="1:13" x14ac:dyDescent="0.4">
      <c r="A780" s="2" t="s">
        <v>825</v>
      </c>
      <c r="B780" s="2">
        <f>VALUE(REPLACE(CustomerTable[[#This Row],[Ticket]],1,3,""))</f>
        <v>1041</v>
      </c>
      <c r="C780" s="2" t="s">
        <v>1023</v>
      </c>
      <c r="D780" s="2" t="s">
        <v>2790</v>
      </c>
      <c r="E780" s="2" t="s">
        <v>400</v>
      </c>
      <c r="F780" s="2" t="s">
        <v>398</v>
      </c>
      <c r="G780" s="2" t="str">
        <f>IF(CustomerTable[[#This Row],[Status]]="RESOLVED","Done",IF(CustomerTable[[#This Row],[Status]]="CLOSED","DONE",IF(CustomerTable[[#This Row],[Status]]="DEFERRED","Done","Pending")))</f>
        <v>Done</v>
      </c>
      <c r="H780" s="2" t="s">
        <v>1028</v>
      </c>
      <c r="I780" s="2" t="s">
        <v>389</v>
      </c>
      <c r="J780" s="2" t="s">
        <v>1809</v>
      </c>
      <c r="K780" s="16">
        <v>46150</v>
      </c>
      <c r="M780" s="16">
        <v>46160</v>
      </c>
    </row>
    <row r="781" spans="1:13" x14ac:dyDescent="0.4">
      <c r="A781" s="2" t="s">
        <v>826</v>
      </c>
      <c r="B781" s="2">
        <f>VALUE(REPLACE(CustomerTable[[#This Row],[Ticket]],1,3,""))</f>
        <v>1042</v>
      </c>
      <c r="C781" s="2" t="s">
        <v>1023</v>
      </c>
      <c r="D781" s="2" t="s">
        <v>2791</v>
      </c>
      <c r="E781" s="2" t="s">
        <v>399</v>
      </c>
      <c r="F781" s="2" t="s">
        <v>413</v>
      </c>
      <c r="G781" s="2" t="str">
        <f>IF(CustomerTable[[#This Row],[Status]]="RESOLVED","Done",IF(CustomerTable[[#This Row],[Status]]="CLOSED","DONE",IF(CustomerTable[[#This Row],[Status]]="DEFERRED","Done","Pending")))</f>
        <v>DONE</v>
      </c>
      <c r="H781" s="2" t="s">
        <v>11</v>
      </c>
      <c r="I781" s="2" t="s">
        <v>389</v>
      </c>
      <c r="J781" s="2" t="s">
        <v>1810</v>
      </c>
      <c r="K781" s="16">
        <v>46150</v>
      </c>
      <c r="M781" s="16"/>
    </row>
    <row r="782" spans="1:13" x14ac:dyDescent="0.4">
      <c r="A782" s="2" t="s">
        <v>827</v>
      </c>
      <c r="B782" s="2">
        <f>VALUE(REPLACE(CustomerTable[[#This Row],[Ticket]],1,3,""))</f>
        <v>1043</v>
      </c>
      <c r="C782" s="2" t="s">
        <v>1023</v>
      </c>
      <c r="D782" s="2" t="s">
        <v>2792</v>
      </c>
      <c r="E782" s="2" t="s">
        <v>405</v>
      </c>
      <c r="F782" s="2" t="s">
        <v>398</v>
      </c>
      <c r="G782" s="2" t="str">
        <f>IF(CustomerTable[[#This Row],[Status]]="RESOLVED","Done",IF(CustomerTable[[#This Row],[Status]]="CLOSED","DONE",IF(CustomerTable[[#This Row],[Status]]="DEFERRED","Done","Pending")))</f>
        <v>Done</v>
      </c>
      <c r="H782" s="2" t="s">
        <v>1034</v>
      </c>
      <c r="I782" s="2" t="s">
        <v>393</v>
      </c>
      <c r="J782" s="2" t="s">
        <v>1811</v>
      </c>
      <c r="K782" s="16">
        <v>46153</v>
      </c>
      <c r="M782" s="16">
        <v>46167</v>
      </c>
    </row>
    <row r="783" spans="1:13" x14ac:dyDescent="0.4">
      <c r="A783" s="2" t="s">
        <v>828</v>
      </c>
      <c r="B783" s="2">
        <f>VALUE(REPLACE(CustomerTable[[#This Row],[Ticket]],1,3,""))</f>
        <v>1044</v>
      </c>
      <c r="C783" s="2" t="s">
        <v>1023</v>
      </c>
      <c r="D783" s="2" t="s">
        <v>2793</v>
      </c>
      <c r="E783" s="2" t="s">
        <v>405</v>
      </c>
      <c r="F783" s="2" t="s">
        <v>398</v>
      </c>
      <c r="G783" s="2" t="str">
        <f>IF(CustomerTable[[#This Row],[Status]]="RESOLVED","Done",IF(CustomerTable[[#This Row],[Status]]="CLOSED","DONE",IF(CustomerTable[[#This Row],[Status]]="DEFERRED","Done","Pending")))</f>
        <v>Done</v>
      </c>
      <c r="H783" s="2" t="s">
        <v>11</v>
      </c>
      <c r="I783" s="2" t="s">
        <v>395</v>
      </c>
      <c r="J783" s="2" t="s">
        <v>1812</v>
      </c>
      <c r="K783" s="16">
        <v>46153</v>
      </c>
      <c r="M783" s="16">
        <v>46154</v>
      </c>
    </row>
    <row r="784" spans="1:13" x14ac:dyDescent="0.4">
      <c r="A784" s="2" t="s">
        <v>829</v>
      </c>
      <c r="B784" s="2">
        <f>VALUE(REPLACE(CustomerTable[[#This Row],[Ticket]],1,3,""))</f>
        <v>1045</v>
      </c>
      <c r="C784" s="2" t="s">
        <v>1023</v>
      </c>
      <c r="D784" s="2" t="s">
        <v>2794</v>
      </c>
      <c r="E784" s="2" t="s">
        <v>399</v>
      </c>
      <c r="F784" s="2" t="s">
        <v>398</v>
      </c>
      <c r="G784" s="2" t="str">
        <f>IF(CustomerTable[[#This Row],[Status]]="RESOLVED","Done",IF(CustomerTable[[#This Row],[Status]]="CLOSED","DONE",IF(CustomerTable[[#This Row],[Status]]="DEFERRED","Done","Pending")))</f>
        <v>Done</v>
      </c>
      <c r="H784" s="2" t="s">
        <v>1028</v>
      </c>
      <c r="I784" s="2" t="s">
        <v>391</v>
      </c>
      <c r="J784" s="2" t="s">
        <v>1813</v>
      </c>
      <c r="K784" s="16">
        <v>46153</v>
      </c>
      <c r="M784" s="16">
        <v>46161</v>
      </c>
    </row>
    <row r="785" spans="1:13" x14ac:dyDescent="0.4">
      <c r="A785" s="2" t="s">
        <v>830</v>
      </c>
      <c r="B785" s="2">
        <f>VALUE(REPLACE(CustomerTable[[#This Row],[Ticket]],1,3,""))</f>
        <v>1046</v>
      </c>
      <c r="C785" s="2" t="s">
        <v>1023</v>
      </c>
      <c r="D785" s="2" t="s">
        <v>2795</v>
      </c>
      <c r="E785" s="2" t="s">
        <v>399</v>
      </c>
      <c r="F785" s="2" t="s">
        <v>398</v>
      </c>
      <c r="G785" s="2" t="str">
        <f>IF(CustomerTable[[#This Row],[Status]]="RESOLVED","Done",IF(CustomerTable[[#This Row],[Status]]="CLOSED","DONE",IF(CustomerTable[[#This Row],[Status]]="DEFERRED","Done","Pending")))</f>
        <v>Done</v>
      </c>
      <c r="H785" s="2" t="s">
        <v>1028</v>
      </c>
      <c r="I785" s="2" t="s">
        <v>389</v>
      </c>
      <c r="J785" s="2" t="s">
        <v>1814</v>
      </c>
      <c r="K785" s="16">
        <v>46153</v>
      </c>
      <c r="M785" s="16">
        <v>46154</v>
      </c>
    </row>
    <row r="786" spans="1:13" x14ac:dyDescent="0.4">
      <c r="A786" s="2" t="s">
        <v>831</v>
      </c>
      <c r="B786" s="2">
        <f>VALUE(REPLACE(CustomerTable[[#This Row],[Ticket]],1,3,""))</f>
        <v>1047</v>
      </c>
      <c r="C786" s="2" t="s">
        <v>1023</v>
      </c>
      <c r="D786" s="2" t="s">
        <v>2796</v>
      </c>
      <c r="E786" s="2" t="s">
        <v>399</v>
      </c>
      <c r="F786" s="2" t="s">
        <v>398</v>
      </c>
      <c r="G786" s="2" t="str">
        <f>IF(CustomerTable[[#This Row],[Status]]="RESOLVED","Done",IF(CustomerTable[[#This Row],[Status]]="CLOSED","DONE",IF(CustomerTable[[#This Row],[Status]]="DEFERRED","Done","Pending")))</f>
        <v>Done</v>
      </c>
      <c r="H786" s="2" t="s">
        <v>1034</v>
      </c>
      <c r="I786" s="2" t="s">
        <v>392</v>
      </c>
      <c r="J786" s="2" t="s">
        <v>1815</v>
      </c>
      <c r="K786" s="16">
        <v>46153</v>
      </c>
      <c r="M786" s="16">
        <v>46174</v>
      </c>
    </row>
    <row r="787" spans="1:13" x14ac:dyDescent="0.4">
      <c r="A787" s="2" t="s">
        <v>832</v>
      </c>
      <c r="B787" s="2">
        <f>VALUE(REPLACE(CustomerTable[[#This Row],[Ticket]],1,3,""))</f>
        <v>1048</v>
      </c>
      <c r="C787" s="2" t="s">
        <v>1023</v>
      </c>
      <c r="D787" s="2" t="s">
        <v>2797</v>
      </c>
      <c r="E787" s="2" t="s">
        <v>399</v>
      </c>
      <c r="F787" s="2" t="s">
        <v>398</v>
      </c>
      <c r="G787" s="2" t="str">
        <f>IF(CustomerTable[[#This Row],[Status]]="RESOLVED","Done",IF(CustomerTable[[#This Row],[Status]]="CLOSED","DONE",IF(CustomerTable[[#This Row],[Status]]="DEFERRED","Done","Pending")))</f>
        <v>Done</v>
      </c>
      <c r="H787" s="2" t="s">
        <v>1028</v>
      </c>
      <c r="I787" s="2" t="s">
        <v>392</v>
      </c>
      <c r="J787" s="2" t="s">
        <v>1816</v>
      </c>
      <c r="K787" s="16">
        <v>46153</v>
      </c>
      <c r="M787" s="16">
        <v>46162</v>
      </c>
    </row>
    <row r="788" spans="1:13" x14ac:dyDescent="0.4">
      <c r="A788" s="2" t="s">
        <v>833</v>
      </c>
      <c r="B788" s="2">
        <f>VALUE(REPLACE(CustomerTable[[#This Row],[Ticket]],1,3,""))</f>
        <v>1049</v>
      </c>
      <c r="C788" s="2" t="s">
        <v>1023</v>
      </c>
      <c r="D788" s="2" t="s">
        <v>2798</v>
      </c>
      <c r="E788" s="2" t="s">
        <v>399</v>
      </c>
      <c r="F788" s="2" t="s">
        <v>398</v>
      </c>
      <c r="G788" s="2" t="str">
        <f>IF(CustomerTable[[#This Row],[Status]]="RESOLVED","Done",IF(CustomerTable[[#This Row],[Status]]="CLOSED","DONE",IF(CustomerTable[[#This Row],[Status]]="DEFERRED","Done","Pending")))</f>
        <v>Done</v>
      </c>
      <c r="H788" s="2" t="s">
        <v>1028</v>
      </c>
      <c r="I788" s="2" t="s">
        <v>391</v>
      </c>
      <c r="J788" s="2" t="s">
        <v>1817</v>
      </c>
      <c r="K788" s="16">
        <v>46153</v>
      </c>
      <c r="M788" s="16">
        <v>46155</v>
      </c>
    </row>
    <row r="789" spans="1:13" x14ac:dyDescent="0.4">
      <c r="A789" s="2" t="s">
        <v>834</v>
      </c>
      <c r="B789" s="2">
        <f>VALUE(REPLACE(CustomerTable[[#This Row],[Ticket]],1,3,""))</f>
        <v>1050</v>
      </c>
      <c r="C789" s="2" t="s">
        <v>1023</v>
      </c>
      <c r="D789" s="2" t="s">
        <v>2799</v>
      </c>
      <c r="E789" s="2" t="s">
        <v>399</v>
      </c>
      <c r="F789" s="2" t="s">
        <v>398</v>
      </c>
      <c r="G789" s="2" t="str">
        <f>IF(CustomerTable[[#This Row],[Status]]="RESOLVED","Done",IF(CustomerTable[[#This Row],[Status]]="CLOSED","DONE",IF(CustomerTable[[#This Row],[Status]]="DEFERRED","Done","Pending")))</f>
        <v>Done</v>
      </c>
      <c r="H789" s="2" t="s">
        <v>11</v>
      </c>
      <c r="I789" s="2" t="s">
        <v>392</v>
      </c>
      <c r="J789" s="2" t="s">
        <v>1818</v>
      </c>
      <c r="K789" s="16">
        <v>46153</v>
      </c>
      <c r="M789" s="16">
        <v>46154</v>
      </c>
    </row>
    <row r="790" spans="1:13" x14ac:dyDescent="0.4">
      <c r="A790" s="2" t="s">
        <v>835</v>
      </c>
      <c r="B790" s="2">
        <f>VALUE(REPLACE(CustomerTable[[#This Row],[Ticket]],1,3,""))</f>
        <v>1051</v>
      </c>
      <c r="C790" s="2" t="s">
        <v>1024</v>
      </c>
      <c r="D790" s="2" t="s">
        <v>2800</v>
      </c>
      <c r="E790" s="2" t="s">
        <v>400</v>
      </c>
      <c r="F790" s="2" t="s">
        <v>398</v>
      </c>
      <c r="G790" s="2" t="str">
        <f>IF(CustomerTable[[#This Row],[Status]]="RESOLVED","Done",IF(CustomerTable[[#This Row],[Status]]="CLOSED","DONE",IF(CustomerTable[[#This Row],[Status]]="DEFERRED","Done","Pending")))</f>
        <v>Done</v>
      </c>
      <c r="H790" s="2" t="s">
        <v>1034</v>
      </c>
      <c r="I790" s="2" t="s">
        <v>393</v>
      </c>
      <c r="J790" s="2" t="s">
        <v>1819</v>
      </c>
      <c r="K790" s="16">
        <v>46153</v>
      </c>
      <c r="M790" s="16">
        <v>46160</v>
      </c>
    </row>
    <row r="791" spans="1:13" x14ac:dyDescent="0.4">
      <c r="A791" s="2" t="s">
        <v>836</v>
      </c>
      <c r="B791" s="2">
        <f>VALUE(REPLACE(CustomerTable[[#This Row],[Ticket]],1,3,""))</f>
        <v>1052</v>
      </c>
      <c r="C791" s="2" t="s">
        <v>1023</v>
      </c>
      <c r="D791" s="2" t="s">
        <v>2801</v>
      </c>
      <c r="E791" s="2" t="s">
        <v>399</v>
      </c>
      <c r="F791" s="2" t="s">
        <v>398</v>
      </c>
      <c r="G791" s="2" t="str">
        <f>IF(CustomerTable[[#This Row],[Status]]="RESOLVED","Done",IF(CustomerTable[[#This Row],[Status]]="CLOSED","DONE",IF(CustomerTable[[#This Row],[Status]]="DEFERRED","Done","Pending")))</f>
        <v>Done</v>
      </c>
      <c r="H791" s="2" t="s">
        <v>1034</v>
      </c>
      <c r="I791" s="2" t="s">
        <v>391</v>
      </c>
      <c r="J791" s="2" t="s">
        <v>1820</v>
      </c>
      <c r="K791" s="16">
        <v>46153</v>
      </c>
      <c r="M791" s="16">
        <v>46172</v>
      </c>
    </row>
    <row r="792" spans="1:13" x14ac:dyDescent="0.4">
      <c r="A792" s="2" t="s">
        <v>837</v>
      </c>
      <c r="B792" s="2">
        <f>VALUE(REPLACE(CustomerTable[[#This Row],[Ticket]],1,3,""))</f>
        <v>1053</v>
      </c>
      <c r="C792" s="2" t="s">
        <v>1023</v>
      </c>
      <c r="D792" s="2" t="s">
        <v>2802</v>
      </c>
      <c r="E792" s="2" t="s">
        <v>400</v>
      </c>
      <c r="F792" s="2" t="s">
        <v>398</v>
      </c>
      <c r="G792" s="2" t="str">
        <f>IF(CustomerTable[[#This Row],[Status]]="RESOLVED","Done",IF(CustomerTable[[#This Row],[Status]]="CLOSED","DONE",IF(CustomerTable[[#This Row],[Status]]="DEFERRED","Done","Pending")))</f>
        <v>Done</v>
      </c>
      <c r="H792" s="2" t="s">
        <v>1028</v>
      </c>
      <c r="I792" s="2" t="s">
        <v>395</v>
      </c>
      <c r="J792" s="2" t="s">
        <v>1821</v>
      </c>
      <c r="K792" s="16">
        <v>46153</v>
      </c>
      <c r="M792" s="16">
        <v>46160</v>
      </c>
    </row>
    <row r="793" spans="1:13" x14ac:dyDescent="0.4">
      <c r="A793" s="2" t="s">
        <v>838</v>
      </c>
      <c r="B793" s="2">
        <f>VALUE(REPLACE(CustomerTable[[#This Row],[Ticket]],1,3,""))</f>
        <v>1054</v>
      </c>
      <c r="C793" s="2" t="s">
        <v>1023</v>
      </c>
      <c r="D793" s="2" t="s">
        <v>2803</v>
      </c>
      <c r="E793" s="2" t="s">
        <v>399</v>
      </c>
      <c r="F793" s="2" t="s">
        <v>398</v>
      </c>
      <c r="G793" s="2" t="str">
        <f>IF(CustomerTable[[#This Row],[Status]]="RESOLVED","Done",IF(CustomerTable[[#This Row],[Status]]="CLOSED","DONE",IF(CustomerTable[[#This Row],[Status]]="DEFERRED","Done","Pending")))</f>
        <v>Done</v>
      </c>
      <c r="H793" s="2" t="s">
        <v>1028</v>
      </c>
      <c r="I793" s="2" t="s">
        <v>391</v>
      </c>
      <c r="J793" s="2" t="s">
        <v>1822</v>
      </c>
      <c r="K793" s="16">
        <v>46153</v>
      </c>
      <c r="M793" s="16">
        <v>46160</v>
      </c>
    </row>
    <row r="794" spans="1:13" x14ac:dyDescent="0.4">
      <c r="A794" s="2" t="s">
        <v>839</v>
      </c>
      <c r="B794" s="2">
        <f>VALUE(REPLACE(CustomerTable[[#This Row],[Ticket]],1,3,""))</f>
        <v>1055</v>
      </c>
      <c r="C794" s="2" t="s">
        <v>1023</v>
      </c>
      <c r="D794" s="2" t="s">
        <v>2804</v>
      </c>
      <c r="E794" s="2" t="s">
        <v>399</v>
      </c>
      <c r="F794" s="2" t="s">
        <v>413</v>
      </c>
      <c r="G794" s="2" t="str">
        <f>IF(CustomerTable[[#This Row],[Status]]="RESOLVED","Done",IF(CustomerTable[[#This Row],[Status]]="CLOSED","DONE",IF(CustomerTable[[#This Row],[Status]]="DEFERRED","Done","Pending")))</f>
        <v>DONE</v>
      </c>
      <c r="H794" s="2" t="s">
        <v>11</v>
      </c>
      <c r="I794" s="2" t="s">
        <v>389</v>
      </c>
      <c r="J794" s="2" t="s">
        <v>1823</v>
      </c>
      <c r="K794" s="16">
        <v>46153</v>
      </c>
      <c r="M794" s="16"/>
    </row>
    <row r="795" spans="1:13" x14ac:dyDescent="0.4">
      <c r="A795" s="2" t="s">
        <v>840</v>
      </c>
      <c r="B795" s="2">
        <f>VALUE(REPLACE(CustomerTable[[#This Row],[Ticket]],1,3,""))</f>
        <v>1056</v>
      </c>
      <c r="C795" s="2" t="s">
        <v>1023</v>
      </c>
      <c r="D795" s="2" t="s">
        <v>2805</v>
      </c>
      <c r="E795" s="2" t="s">
        <v>400</v>
      </c>
      <c r="F795" s="2" t="s">
        <v>398</v>
      </c>
      <c r="G795" s="2" t="str">
        <f>IF(CustomerTable[[#This Row],[Status]]="RESOLVED","Done",IF(CustomerTable[[#This Row],[Status]]="CLOSED","DONE",IF(CustomerTable[[#This Row],[Status]]="DEFERRED","Done","Pending")))</f>
        <v>Done</v>
      </c>
      <c r="H795" s="2" t="s">
        <v>1028</v>
      </c>
      <c r="I795" s="2" t="s">
        <v>392</v>
      </c>
      <c r="J795" s="2" t="s">
        <v>1824</v>
      </c>
      <c r="K795" s="16">
        <v>46154</v>
      </c>
      <c r="M795" s="16">
        <v>46156</v>
      </c>
    </row>
    <row r="796" spans="1:13" x14ac:dyDescent="0.4">
      <c r="A796" s="2" t="s">
        <v>841</v>
      </c>
      <c r="B796" s="2">
        <f>VALUE(REPLACE(CustomerTable[[#This Row],[Ticket]],1,3,""))</f>
        <v>1057</v>
      </c>
      <c r="C796" s="2" t="s">
        <v>1023</v>
      </c>
      <c r="D796" s="2" t="s">
        <v>2806</v>
      </c>
      <c r="E796" s="2" t="s">
        <v>399</v>
      </c>
      <c r="F796" s="2" t="s">
        <v>398</v>
      </c>
      <c r="G796" s="2" t="str">
        <f>IF(CustomerTable[[#This Row],[Status]]="RESOLVED","Done",IF(CustomerTable[[#This Row],[Status]]="CLOSED","DONE",IF(CustomerTable[[#This Row],[Status]]="DEFERRED","Done","Pending")))</f>
        <v>Done</v>
      </c>
      <c r="H796" s="2" t="s">
        <v>1028</v>
      </c>
      <c r="I796" s="2" t="s">
        <v>389</v>
      </c>
      <c r="J796" s="2" t="s">
        <v>1825</v>
      </c>
      <c r="K796" s="16">
        <v>46154</v>
      </c>
      <c r="M796" s="16">
        <v>46156</v>
      </c>
    </row>
    <row r="797" spans="1:13" x14ac:dyDescent="0.4">
      <c r="A797" s="2" t="s">
        <v>842</v>
      </c>
      <c r="B797" s="2">
        <f>VALUE(REPLACE(CustomerTable[[#This Row],[Ticket]],1,3,""))</f>
        <v>1058</v>
      </c>
      <c r="C797" s="2" t="s">
        <v>1023</v>
      </c>
      <c r="D797" s="2" t="s">
        <v>2807</v>
      </c>
      <c r="E797" s="2" t="s">
        <v>405</v>
      </c>
      <c r="F797" s="2" t="s">
        <v>398</v>
      </c>
      <c r="G797" s="2" t="str">
        <f>IF(CustomerTable[[#This Row],[Status]]="RESOLVED","Done",IF(CustomerTable[[#This Row],[Status]]="CLOSED","DONE",IF(CustomerTable[[#This Row],[Status]]="DEFERRED","Done","Pending")))</f>
        <v>Done</v>
      </c>
      <c r="H797" s="2" t="s">
        <v>1028</v>
      </c>
      <c r="I797" s="2" t="s">
        <v>395</v>
      </c>
      <c r="J797" s="2" t="s">
        <v>1826</v>
      </c>
      <c r="K797" s="16">
        <v>46154</v>
      </c>
      <c r="M797" s="16">
        <v>46156</v>
      </c>
    </row>
    <row r="798" spans="1:13" x14ac:dyDescent="0.4">
      <c r="A798" s="2" t="s">
        <v>843</v>
      </c>
      <c r="B798" s="2">
        <f>VALUE(REPLACE(CustomerTable[[#This Row],[Ticket]],1,3,""))</f>
        <v>1059</v>
      </c>
      <c r="C798" s="2" t="s">
        <v>1023</v>
      </c>
      <c r="D798" s="2" t="s">
        <v>2808</v>
      </c>
      <c r="E798" s="2" t="s">
        <v>399</v>
      </c>
      <c r="F798" s="2" t="s">
        <v>413</v>
      </c>
      <c r="G798" s="2" t="str">
        <f>IF(CustomerTable[[#This Row],[Status]]="RESOLVED","Done",IF(CustomerTable[[#This Row],[Status]]="CLOSED","DONE",IF(CustomerTable[[#This Row],[Status]]="DEFERRED","Done","Pending")))</f>
        <v>DONE</v>
      </c>
      <c r="H798" s="2" t="s">
        <v>1034</v>
      </c>
      <c r="I798" s="2" t="s">
        <v>392</v>
      </c>
      <c r="J798" s="2" t="s">
        <v>1827</v>
      </c>
      <c r="K798" s="16">
        <v>46154</v>
      </c>
      <c r="M798" s="16"/>
    </row>
    <row r="799" spans="1:13" x14ac:dyDescent="0.4">
      <c r="A799" s="2" t="s">
        <v>844</v>
      </c>
      <c r="B799" s="2">
        <f>VALUE(REPLACE(CustomerTable[[#This Row],[Ticket]],1,3,""))</f>
        <v>1060</v>
      </c>
      <c r="C799" s="2" t="s">
        <v>1023</v>
      </c>
      <c r="D799" s="2" t="s">
        <v>2809</v>
      </c>
      <c r="E799" s="2" t="s">
        <v>405</v>
      </c>
      <c r="F799" s="2" t="s">
        <v>398</v>
      </c>
      <c r="G799" s="2" t="str">
        <f>IF(CustomerTable[[#This Row],[Status]]="RESOLVED","Done",IF(CustomerTable[[#This Row],[Status]]="CLOSED","DONE",IF(CustomerTable[[#This Row],[Status]]="DEFERRED","Done","Pending")))</f>
        <v>Done</v>
      </c>
      <c r="H799" s="2" t="s">
        <v>1028</v>
      </c>
      <c r="I799" s="2" t="s">
        <v>389</v>
      </c>
      <c r="J799" s="2" t="s">
        <v>1828</v>
      </c>
      <c r="K799" s="16">
        <v>46154</v>
      </c>
      <c r="M799" s="16">
        <v>46167</v>
      </c>
    </row>
    <row r="800" spans="1:13" x14ac:dyDescent="0.4">
      <c r="A800" s="2" t="s">
        <v>845</v>
      </c>
      <c r="B800" s="2">
        <f>VALUE(REPLACE(CustomerTable[[#This Row],[Ticket]],1,3,""))</f>
        <v>1061</v>
      </c>
      <c r="C800" s="2" t="s">
        <v>1023</v>
      </c>
      <c r="D800" s="2" t="s">
        <v>2810</v>
      </c>
      <c r="E800" s="2" t="s">
        <v>405</v>
      </c>
      <c r="F800" s="2" t="s">
        <v>398</v>
      </c>
      <c r="G800" s="2" t="str">
        <f>IF(CustomerTable[[#This Row],[Status]]="RESOLVED","Done",IF(CustomerTable[[#This Row],[Status]]="CLOSED","DONE",IF(CustomerTable[[#This Row],[Status]]="DEFERRED","Done","Pending")))</f>
        <v>Done</v>
      </c>
      <c r="H800" s="2" t="s">
        <v>1028</v>
      </c>
      <c r="I800" s="2" t="s">
        <v>395</v>
      </c>
      <c r="J800" s="2" t="s">
        <v>1829</v>
      </c>
      <c r="K800" s="16">
        <v>46154</v>
      </c>
      <c r="M800" s="16">
        <v>46167</v>
      </c>
    </row>
    <row r="801" spans="1:13" x14ac:dyDescent="0.4">
      <c r="A801" s="2" t="s">
        <v>846</v>
      </c>
      <c r="B801" s="2">
        <f>VALUE(REPLACE(CustomerTable[[#This Row],[Ticket]],1,3,""))</f>
        <v>1062</v>
      </c>
      <c r="C801" s="2" t="s">
        <v>1023</v>
      </c>
      <c r="D801" s="2" t="s">
        <v>2811</v>
      </c>
      <c r="E801" s="2" t="s">
        <v>405</v>
      </c>
      <c r="F801" s="2" t="s">
        <v>398</v>
      </c>
      <c r="G801" s="2" t="str">
        <f>IF(CustomerTable[[#This Row],[Status]]="RESOLVED","Done",IF(CustomerTable[[#This Row],[Status]]="CLOSED","DONE",IF(CustomerTable[[#This Row],[Status]]="DEFERRED","Done","Pending")))</f>
        <v>Done</v>
      </c>
      <c r="H801" s="2" t="s">
        <v>11</v>
      </c>
      <c r="I801" s="2" t="s">
        <v>392</v>
      </c>
      <c r="J801" s="2" t="s">
        <v>1830</v>
      </c>
      <c r="K801" s="16">
        <v>46154</v>
      </c>
      <c r="M801" s="16">
        <v>46167</v>
      </c>
    </row>
    <row r="802" spans="1:13" x14ac:dyDescent="0.4">
      <c r="A802" s="2" t="s">
        <v>847</v>
      </c>
      <c r="B802" s="2">
        <f>VALUE(REPLACE(CustomerTable[[#This Row],[Ticket]],1,3,""))</f>
        <v>1063</v>
      </c>
      <c r="C802" s="2" t="s">
        <v>1023</v>
      </c>
      <c r="D802" s="2" t="s">
        <v>2812</v>
      </c>
      <c r="E802" s="2" t="s">
        <v>405</v>
      </c>
      <c r="F802" s="2" t="s">
        <v>398</v>
      </c>
      <c r="G802" s="2" t="str">
        <f>IF(CustomerTable[[#This Row],[Status]]="RESOLVED","Done",IF(CustomerTable[[#This Row],[Status]]="CLOSED","DONE",IF(CustomerTable[[#This Row],[Status]]="DEFERRED","Done","Pending")))</f>
        <v>Done</v>
      </c>
      <c r="H802" s="2" t="s">
        <v>11</v>
      </c>
      <c r="I802" s="2" t="s">
        <v>388</v>
      </c>
      <c r="J802" s="2" t="s">
        <v>1831</v>
      </c>
      <c r="K802" s="16">
        <v>46155</v>
      </c>
      <c r="M802" s="16">
        <v>46160</v>
      </c>
    </row>
    <row r="803" spans="1:13" x14ac:dyDescent="0.4">
      <c r="A803" s="2" t="s">
        <v>848</v>
      </c>
      <c r="B803" s="2">
        <f>VALUE(REPLACE(CustomerTable[[#This Row],[Ticket]],1,3,""))</f>
        <v>1064</v>
      </c>
      <c r="C803" s="2" t="s">
        <v>1023</v>
      </c>
      <c r="D803" s="2" t="s">
        <v>2813</v>
      </c>
      <c r="E803" s="2" t="s">
        <v>405</v>
      </c>
      <c r="F803" s="2" t="s">
        <v>398</v>
      </c>
      <c r="G803" s="2" t="str">
        <f>IF(CustomerTable[[#This Row],[Status]]="RESOLVED","Done",IF(CustomerTable[[#This Row],[Status]]="CLOSED","DONE",IF(CustomerTable[[#This Row],[Status]]="DEFERRED","Done","Pending")))</f>
        <v>Done</v>
      </c>
      <c r="H803" s="2" t="s">
        <v>1028</v>
      </c>
      <c r="I803" s="2" t="s">
        <v>390</v>
      </c>
      <c r="J803" s="2" t="s">
        <v>1832</v>
      </c>
      <c r="K803" s="16">
        <v>46155</v>
      </c>
      <c r="M803" s="16">
        <v>46167</v>
      </c>
    </row>
    <row r="804" spans="1:13" x14ac:dyDescent="0.4">
      <c r="A804" s="2" t="s">
        <v>849</v>
      </c>
      <c r="B804" s="2">
        <f>VALUE(REPLACE(CustomerTable[[#This Row],[Ticket]],1,3,""))</f>
        <v>1065</v>
      </c>
      <c r="C804" s="2" t="s">
        <v>1023</v>
      </c>
      <c r="D804" s="2" t="s">
        <v>2814</v>
      </c>
      <c r="E804" s="2" t="s">
        <v>399</v>
      </c>
      <c r="F804" s="2" t="s">
        <v>398</v>
      </c>
      <c r="G804" s="2" t="str">
        <f>IF(CustomerTable[[#This Row],[Status]]="RESOLVED","Done",IF(CustomerTable[[#This Row],[Status]]="CLOSED","DONE",IF(CustomerTable[[#This Row],[Status]]="DEFERRED","Done","Pending")))</f>
        <v>Done</v>
      </c>
      <c r="H804" s="2" t="s">
        <v>1028</v>
      </c>
      <c r="I804" s="2" t="s">
        <v>389</v>
      </c>
      <c r="J804" s="2" t="s">
        <v>1833</v>
      </c>
      <c r="K804" s="16">
        <v>46156</v>
      </c>
      <c r="M804" s="16">
        <v>46167</v>
      </c>
    </row>
    <row r="805" spans="1:13" x14ac:dyDescent="0.4">
      <c r="A805" s="2" t="s">
        <v>850</v>
      </c>
      <c r="B805" s="2">
        <f>VALUE(REPLACE(CustomerTable[[#This Row],[Ticket]],1,3,""))</f>
        <v>1066</v>
      </c>
      <c r="C805" s="2" t="s">
        <v>1023</v>
      </c>
      <c r="D805" s="2" t="s">
        <v>2815</v>
      </c>
      <c r="E805" s="2" t="s">
        <v>399</v>
      </c>
      <c r="F805" s="2" t="s">
        <v>398</v>
      </c>
      <c r="G805" s="2" t="str">
        <f>IF(CustomerTable[[#This Row],[Status]]="RESOLVED","Done",IF(CustomerTable[[#This Row],[Status]]="CLOSED","DONE",IF(CustomerTable[[#This Row],[Status]]="DEFERRED","Done","Pending")))</f>
        <v>Done</v>
      </c>
      <c r="H805" s="2" t="s">
        <v>11</v>
      </c>
      <c r="I805" s="2" t="s">
        <v>390</v>
      </c>
      <c r="J805" s="2" t="s">
        <v>1834</v>
      </c>
      <c r="K805" s="16">
        <v>46156</v>
      </c>
      <c r="M805" s="16">
        <v>46160</v>
      </c>
    </row>
    <row r="806" spans="1:13" x14ac:dyDescent="0.4">
      <c r="A806" s="2" t="s">
        <v>851</v>
      </c>
      <c r="B806" s="2">
        <f>VALUE(REPLACE(CustomerTable[[#This Row],[Ticket]],1,3,""))</f>
        <v>1067</v>
      </c>
      <c r="C806" s="2" t="s">
        <v>1023</v>
      </c>
      <c r="D806" s="2" t="s">
        <v>2816</v>
      </c>
      <c r="E806" s="2" t="s">
        <v>399</v>
      </c>
      <c r="F806" s="2" t="s">
        <v>398</v>
      </c>
      <c r="G806" s="2" t="str">
        <f>IF(CustomerTable[[#This Row],[Status]]="RESOLVED","Done",IF(CustomerTable[[#This Row],[Status]]="CLOSED","DONE",IF(CustomerTable[[#This Row],[Status]]="DEFERRED","Done","Pending")))</f>
        <v>Done</v>
      </c>
      <c r="H806" s="2" t="s">
        <v>1028</v>
      </c>
      <c r="I806" s="2" t="s">
        <v>391</v>
      </c>
      <c r="J806" s="2" t="s">
        <v>1835</v>
      </c>
      <c r="K806" s="16">
        <v>46156</v>
      </c>
      <c r="M806" s="16">
        <v>46167</v>
      </c>
    </row>
    <row r="807" spans="1:13" x14ac:dyDescent="0.4">
      <c r="A807" s="2" t="s">
        <v>852</v>
      </c>
      <c r="B807" s="2">
        <f>VALUE(REPLACE(CustomerTable[[#This Row],[Ticket]],1,3,""))</f>
        <v>1068</v>
      </c>
      <c r="C807" s="2" t="s">
        <v>1023</v>
      </c>
      <c r="D807" s="2" t="s">
        <v>2817</v>
      </c>
      <c r="E807" s="2" t="s">
        <v>399</v>
      </c>
      <c r="F807" s="2" t="s">
        <v>398</v>
      </c>
      <c r="G807" s="2" t="str">
        <f>IF(CustomerTable[[#This Row],[Status]]="RESOLVED","Done",IF(CustomerTable[[#This Row],[Status]]="CLOSED","DONE",IF(CustomerTable[[#This Row],[Status]]="DEFERRED","Done","Pending")))</f>
        <v>Done</v>
      </c>
      <c r="H807" s="2" t="s">
        <v>11</v>
      </c>
      <c r="I807" s="2" t="s">
        <v>390</v>
      </c>
      <c r="J807" s="2" t="s">
        <v>1836</v>
      </c>
      <c r="K807" s="16">
        <v>46156</v>
      </c>
      <c r="M807" s="16">
        <v>46157</v>
      </c>
    </row>
    <row r="808" spans="1:13" x14ac:dyDescent="0.4">
      <c r="A808" s="2" t="s">
        <v>853</v>
      </c>
      <c r="B808" s="2">
        <f>VALUE(REPLACE(CustomerTable[[#This Row],[Ticket]],1,3,""))</f>
        <v>1069</v>
      </c>
      <c r="C808" s="2" t="s">
        <v>1023</v>
      </c>
      <c r="D808" s="2" t="s">
        <v>2818</v>
      </c>
      <c r="E808" s="2" t="s">
        <v>399</v>
      </c>
      <c r="F808" s="2" t="s">
        <v>413</v>
      </c>
      <c r="G808" s="2" t="str">
        <f>IF(CustomerTable[[#This Row],[Status]]="RESOLVED","Done",IF(CustomerTable[[#This Row],[Status]]="CLOSED","DONE",IF(CustomerTable[[#This Row],[Status]]="DEFERRED","Done","Pending")))</f>
        <v>DONE</v>
      </c>
      <c r="H808" s="2" t="s">
        <v>11</v>
      </c>
      <c r="I808" s="2" t="s">
        <v>389</v>
      </c>
      <c r="J808" s="2" t="s">
        <v>1837</v>
      </c>
      <c r="K808" s="16">
        <v>46156</v>
      </c>
      <c r="M808" s="16"/>
    </row>
    <row r="809" spans="1:13" x14ac:dyDescent="0.4">
      <c r="A809" s="2" t="s">
        <v>854</v>
      </c>
      <c r="B809" s="2">
        <f>VALUE(REPLACE(CustomerTable[[#This Row],[Ticket]],1,3,""))</f>
        <v>1070</v>
      </c>
      <c r="C809" s="2" t="s">
        <v>1023</v>
      </c>
      <c r="D809" s="2" t="s">
        <v>2819</v>
      </c>
      <c r="E809" s="2" t="s">
        <v>400</v>
      </c>
      <c r="F809" s="2" t="s">
        <v>398</v>
      </c>
      <c r="G809" s="2" t="str">
        <f>IF(CustomerTable[[#This Row],[Status]]="RESOLVED","Done",IF(CustomerTable[[#This Row],[Status]]="CLOSED","DONE",IF(CustomerTable[[#This Row],[Status]]="DEFERRED","Done","Pending")))</f>
        <v>Done</v>
      </c>
      <c r="H809" s="2" t="s">
        <v>1028</v>
      </c>
      <c r="I809" s="2" t="s">
        <v>389</v>
      </c>
      <c r="J809" s="2" t="s">
        <v>1838</v>
      </c>
      <c r="K809" s="16">
        <v>46156</v>
      </c>
      <c r="M809" s="16">
        <v>46167</v>
      </c>
    </row>
    <row r="810" spans="1:13" x14ac:dyDescent="0.4">
      <c r="A810" s="2" t="s">
        <v>855</v>
      </c>
      <c r="B810" s="2">
        <f>VALUE(REPLACE(CustomerTable[[#This Row],[Ticket]],1,3,""))</f>
        <v>1071</v>
      </c>
      <c r="C810" s="2" t="s">
        <v>1023</v>
      </c>
      <c r="D810" s="2" t="s">
        <v>2820</v>
      </c>
      <c r="E810" s="2" t="s">
        <v>399</v>
      </c>
      <c r="F810" s="2" t="s">
        <v>398</v>
      </c>
      <c r="G810" s="2" t="str">
        <f>IF(CustomerTable[[#This Row],[Status]]="RESOLVED","Done",IF(CustomerTable[[#This Row],[Status]]="CLOSED","DONE",IF(CustomerTable[[#This Row],[Status]]="DEFERRED","Done","Pending")))</f>
        <v>Done</v>
      </c>
      <c r="H810" s="2" t="s">
        <v>1028</v>
      </c>
      <c r="I810" s="2" t="s">
        <v>389</v>
      </c>
      <c r="J810" s="2" t="s">
        <v>1839</v>
      </c>
      <c r="K810" s="16">
        <v>46156</v>
      </c>
      <c r="M810" s="16">
        <v>46157</v>
      </c>
    </row>
    <row r="811" spans="1:13" x14ac:dyDescent="0.4">
      <c r="A811" s="2" t="s">
        <v>856</v>
      </c>
      <c r="B811" s="2">
        <f>VALUE(REPLACE(CustomerTable[[#This Row],[Ticket]],1,3,""))</f>
        <v>1072</v>
      </c>
      <c r="C811" s="2" t="s">
        <v>1023</v>
      </c>
      <c r="D811" s="2" t="s">
        <v>2821</v>
      </c>
      <c r="E811" s="2" t="s">
        <v>405</v>
      </c>
      <c r="F811" s="2" t="s">
        <v>398</v>
      </c>
      <c r="G811" s="2" t="str">
        <f>IF(CustomerTable[[#This Row],[Status]]="RESOLVED","Done",IF(CustomerTable[[#This Row],[Status]]="CLOSED","DONE",IF(CustomerTable[[#This Row],[Status]]="DEFERRED","Done","Pending")))</f>
        <v>Done</v>
      </c>
      <c r="H811" s="2" t="s">
        <v>1028</v>
      </c>
      <c r="I811" s="2" t="s">
        <v>389</v>
      </c>
      <c r="J811" s="2" t="s">
        <v>1840</v>
      </c>
      <c r="K811" s="16">
        <v>46157</v>
      </c>
      <c r="M811" s="16">
        <v>46160</v>
      </c>
    </row>
    <row r="812" spans="1:13" x14ac:dyDescent="0.4">
      <c r="A812" s="2" t="s">
        <v>857</v>
      </c>
      <c r="B812" s="2">
        <f>VALUE(REPLACE(CustomerTable[[#This Row],[Ticket]],1,3,""))</f>
        <v>1073</v>
      </c>
      <c r="C812" s="2" t="s">
        <v>1023</v>
      </c>
      <c r="D812" s="2" t="s">
        <v>2822</v>
      </c>
      <c r="E812" s="2" t="s">
        <v>405</v>
      </c>
      <c r="F812" s="2" t="s">
        <v>398</v>
      </c>
      <c r="G812" s="2" t="str">
        <f>IF(CustomerTable[[#This Row],[Status]]="RESOLVED","Done",IF(CustomerTable[[#This Row],[Status]]="CLOSED","DONE",IF(CustomerTable[[#This Row],[Status]]="DEFERRED","Done","Pending")))</f>
        <v>Done</v>
      </c>
      <c r="H812" s="2" t="s">
        <v>1028</v>
      </c>
      <c r="I812" s="2" t="s">
        <v>395</v>
      </c>
      <c r="J812" s="2" t="s">
        <v>1841</v>
      </c>
      <c r="K812" s="16">
        <v>46157</v>
      </c>
      <c r="M812" s="16">
        <v>46161</v>
      </c>
    </row>
    <row r="813" spans="1:13" x14ac:dyDescent="0.4">
      <c r="A813" s="2" t="s">
        <v>858</v>
      </c>
      <c r="B813" s="2">
        <f>VALUE(REPLACE(CustomerTable[[#This Row],[Ticket]],1,3,""))</f>
        <v>1074</v>
      </c>
      <c r="C813" s="2" t="s">
        <v>1023</v>
      </c>
      <c r="D813" s="2" t="s">
        <v>2823</v>
      </c>
      <c r="E813" s="2" t="s">
        <v>399</v>
      </c>
      <c r="F813" s="2" t="s">
        <v>398</v>
      </c>
      <c r="G813" s="2" t="str">
        <f>IF(CustomerTable[[#This Row],[Status]]="RESOLVED","Done",IF(CustomerTable[[#This Row],[Status]]="CLOSED","DONE",IF(CustomerTable[[#This Row],[Status]]="DEFERRED","Done","Pending")))</f>
        <v>Done</v>
      </c>
      <c r="H813" s="2" t="s">
        <v>11</v>
      </c>
      <c r="I813" s="2" t="s">
        <v>388</v>
      </c>
      <c r="J813" s="2" t="s">
        <v>1842</v>
      </c>
      <c r="K813" s="16">
        <v>46160</v>
      </c>
      <c r="M813" s="16">
        <v>46161</v>
      </c>
    </row>
    <row r="814" spans="1:13" x14ac:dyDescent="0.4">
      <c r="A814" s="2" t="s">
        <v>859</v>
      </c>
      <c r="B814" s="2">
        <f>VALUE(REPLACE(CustomerTable[[#This Row],[Ticket]],1,3,""))</f>
        <v>1075</v>
      </c>
      <c r="C814" s="2" t="s">
        <v>1024</v>
      </c>
      <c r="D814" s="2" t="s">
        <v>2824</v>
      </c>
      <c r="E814" s="2" t="s">
        <v>405</v>
      </c>
      <c r="F814" s="2" t="s">
        <v>398</v>
      </c>
      <c r="G814" s="2" t="str">
        <f>IF(CustomerTable[[#This Row],[Status]]="RESOLVED","Done",IF(CustomerTable[[#This Row],[Status]]="CLOSED","DONE",IF(CustomerTable[[#This Row],[Status]]="DEFERRED","Done","Pending")))</f>
        <v>Done</v>
      </c>
      <c r="H814" s="2" t="s">
        <v>1029</v>
      </c>
      <c r="I814" s="2" t="s">
        <v>391</v>
      </c>
      <c r="J814" s="2" t="s">
        <v>1843</v>
      </c>
      <c r="K814" s="16">
        <v>46160</v>
      </c>
      <c r="M814" s="16">
        <v>46188</v>
      </c>
    </row>
    <row r="815" spans="1:13" x14ac:dyDescent="0.4">
      <c r="A815" s="2" t="s">
        <v>860</v>
      </c>
      <c r="B815" s="2">
        <f>VALUE(REPLACE(CustomerTable[[#This Row],[Ticket]],1,3,""))</f>
        <v>1076</v>
      </c>
      <c r="C815" s="2" t="s">
        <v>1024</v>
      </c>
      <c r="D815" s="2" t="s">
        <v>2825</v>
      </c>
      <c r="E815" s="2" t="s">
        <v>399</v>
      </c>
      <c r="F815" s="2" t="s">
        <v>398</v>
      </c>
      <c r="G815" s="2" t="str">
        <f>IF(CustomerTable[[#This Row],[Status]]="RESOLVED","Done",IF(CustomerTable[[#This Row],[Status]]="CLOSED","DONE",IF(CustomerTable[[#This Row],[Status]]="DEFERRED","Done","Pending")))</f>
        <v>Done</v>
      </c>
      <c r="H815" s="2" t="s">
        <v>1034</v>
      </c>
      <c r="I815" s="2" t="s">
        <v>393</v>
      </c>
      <c r="J815" s="2" t="s">
        <v>1844</v>
      </c>
      <c r="K815" s="16">
        <v>46160</v>
      </c>
      <c r="M815" s="16">
        <v>46160</v>
      </c>
    </row>
    <row r="816" spans="1:13" x14ac:dyDescent="0.4">
      <c r="A816" s="2" t="s">
        <v>861</v>
      </c>
      <c r="B816" s="2">
        <f>VALUE(REPLACE(CustomerTable[[#This Row],[Ticket]],1,3,""))</f>
        <v>1077</v>
      </c>
      <c r="C816" s="2" t="s">
        <v>1024</v>
      </c>
      <c r="D816" s="2" t="s">
        <v>2826</v>
      </c>
      <c r="E816" s="2" t="s">
        <v>400</v>
      </c>
      <c r="F816" s="2" t="s">
        <v>398</v>
      </c>
      <c r="G816" s="2" t="str">
        <f>IF(CustomerTable[[#This Row],[Status]]="RESOLVED","Done",IF(CustomerTable[[#This Row],[Status]]="CLOSED","DONE",IF(CustomerTable[[#This Row],[Status]]="DEFERRED","Done","Pending")))</f>
        <v>Done</v>
      </c>
      <c r="H816" s="2" t="s">
        <v>1034</v>
      </c>
      <c r="I816" s="2" t="s">
        <v>389</v>
      </c>
      <c r="J816" s="2" t="s">
        <v>1845</v>
      </c>
      <c r="K816" s="16">
        <v>46160</v>
      </c>
      <c r="M816" s="16">
        <v>46168</v>
      </c>
    </row>
    <row r="817" spans="1:13" x14ac:dyDescent="0.4">
      <c r="A817" s="2" t="s">
        <v>862</v>
      </c>
      <c r="B817" s="2">
        <f>VALUE(REPLACE(CustomerTable[[#This Row],[Ticket]],1,3,""))</f>
        <v>1078</v>
      </c>
      <c r="C817" s="2" t="s">
        <v>1024</v>
      </c>
      <c r="D817" s="2" t="s">
        <v>2827</v>
      </c>
      <c r="E817" s="2" t="s">
        <v>405</v>
      </c>
      <c r="F817" s="2" t="s">
        <v>398</v>
      </c>
      <c r="G817" s="2" t="str">
        <f>IF(CustomerTable[[#This Row],[Status]]="RESOLVED","Done",IF(CustomerTable[[#This Row],[Status]]="CLOSED","DONE",IF(CustomerTable[[#This Row],[Status]]="DEFERRED","Done","Pending")))</f>
        <v>Done</v>
      </c>
      <c r="H817" s="2" t="s">
        <v>1029</v>
      </c>
      <c r="I817" s="2" t="s">
        <v>391</v>
      </c>
      <c r="J817" s="2" t="s">
        <v>1846</v>
      </c>
      <c r="K817" s="16">
        <v>46160</v>
      </c>
      <c r="M817" s="16">
        <v>46188</v>
      </c>
    </row>
    <row r="818" spans="1:13" x14ac:dyDescent="0.4">
      <c r="A818" s="2" t="s">
        <v>863</v>
      </c>
      <c r="B818" s="2">
        <f>VALUE(REPLACE(CustomerTable[[#This Row],[Ticket]],1,3,""))</f>
        <v>1079</v>
      </c>
      <c r="C818" s="2" t="s">
        <v>1024</v>
      </c>
      <c r="D818" s="2" t="s">
        <v>2828</v>
      </c>
      <c r="E818" s="2" t="s">
        <v>399</v>
      </c>
      <c r="F818" s="2" t="s">
        <v>413</v>
      </c>
      <c r="G818" s="2" t="str">
        <f>IF(CustomerTable[[#This Row],[Status]]="RESOLVED","Done",IF(CustomerTable[[#This Row],[Status]]="CLOSED","DONE",IF(CustomerTable[[#This Row],[Status]]="DEFERRED","Done","Pending")))</f>
        <v>DONE</v>
      </c>
      <c r="H818" s="2" t="s">
        <v>1029</v>
      </c>
      <c r="I818" s="2" t="s">
        <v>390</v>
      </c>
      <c r="J818" s="2" t="s">
        <v>1847</v>
      </c>
      <c r="K818" s="16">
        <v>46160</v>
      </c>
      <c r="M818" s="16"/>
    </row>
    <row r="819" spans="1:13" x14ac:dyDescent="0.4">
      <c r="A819" s="2" t="s">
        <v>864</v>
      </c>
      <c r="B819" s="2">
        <f>VALUE(REPLACE(CustomerTable[[#This Row],[Ticket]],1,3,""))</f>
        <v>1080</v>
      </c>
      <c r="C819" s="2" t="s">
        <v>1023</v>
      </c>
      <c r="D819" s="2" t="s">
        <v>2829</v>
      </c>
      <c r="E819" s="2" t="s">
        <v>399</v>
      </c>
      <c r="F819" s="2" t="s">
        <v>398</v>
      </c>
      <c r="G819" s="2" t="str">
        <f>IF(CustomerTable[[#This Row],[Status]]="RESOLVED","Done",IF(CustomerTable[[#This Row],[Status]]="CLOSED","DONE",IF(CustomerTable[[#This Row],[Status]]="DEFERRED","Done","Pending")))</f>
        <v>Done</v>
      </c>
      <c r="H819" s="2" t="s">
        <v>1028</v>
      </c>
      <c r="I819" s="2" t="s">
        <v>390</v>
      </c>
      <c r="J819" s="2" t="s">
        <v>1848</v>
      </c>
      <c r="K819" s="16">
        <v>46161</v>
      </c>
      <c r="M819" s="16">
        <v>46163</v>
      </c>
    </row>
    <row r="820" spans="1:13" x14ac:dyDescent="0.4">
      <c r="A820" s="2" t="s">
        <v>865</v>
      </c>
      <c r="B820" s="2">
        <f>VALUE(REPLACE(CustomerTable[[#This Row],[Ticket]],1,3,""))</f>
        <v>1081</v>
      </c>
      <c r="C820" s="2" t="s">
        <v>1023</v>
      </c>
      <c r="D820" s="2" t="s">
        <v>2830</v>
      </c>
      <c r="E820" s="2" t="s">
        <v>399</v>
      </c>
      <c r="F820" s="2" t="s">
        <v>398</v>
      </c>
      <c r="G820" s="2" t="str">
        <f>IF(CustomerTable[[#This Row],[Status]]="RESOLVED","Done",IF(CustomerTable[[#This Row],[Status]]="CLOSED","DONE",IF(CustomerTable[[#This Row],[Status]]="DEFERRED","Done","Pending")))</f>
        <v>Done</v>
      </c>
      <c r="H820" s="2" t="s">
        <v>11</v>
      </c>
      <c r="I820" s="2" t="s">
        <v>392</v>
      </c>
      <c r="J820" s="2" t="s">
        <v>1849</v>
      </c>
      <c r="K820" s="16">
        <v>46161</v>
      </c>
      <c r="M820" s="16">
        <v>46167</v>
      </c>
    </row>
    <row r="821" spans="1:13" x14ac:dyDescent="0.4">
      <c r="A821" s="2" t="s">
        <v>866</v>
      </c>
      <c r="B821" s="2">
        <f>VALUE(REPLACE(CustomerTable[[#This Row],[Ticket]],1,3,""))</f>
        <v>1082</v>
      </c>
      <c r="C821" s="2" t="s">
        <v>1023</v>
      </c>
      <c r="D821" s="2" t="s">
        <v>2831</v>
      </c>
      <c r="E821" s="2" t="s">
        <v>399</v>
      </c>
      <c r="F821" s="2" t="s">
        <v>398</v>
      </c>
      <c r="G821" s="2" t="str">
        <f>IF(CustomerTable[[#This Row],[Status]]="RESOLVED","Done",IF(CustomerTable[[#This Row],[Status]]="CLOSED","DONE",IF(CustomerTable[[#This Row],[Status]]="DEFERRED","Done","Pending")))</f>
        <v>Done</v>
      </c>
      <c r="H821" s="2" t="s">
        <v>1028</v>
      </c>
      <c r="I821" s="2" t="s">
        <v>392</v>
      </c>
      <c r="J821" s="2" t="s">
        <v>1850</v>
      </c>
      <c r="K821" s="16">
        <v>46161</v>
      </c>
      <c r="M821" s="16">
        <v>46167</v>
      </c>
    </row>
    <row r="822" spans="1:13" x14ac:dyDescent="0.4">
      <c r="A822" s="2" t="s">
        <v>867</v>
      </c>
      <c r="B822" s="2">
        <f>VALUE(REPLACE(CustomerTable[[#This Row],[Ticket]],1,3,""))</f>
        <v>1083</v>
      </c>
      <c r="C822" s="2" t="s">
        <v>1023</v>
      </c>
      <c r="D822" s="2" t="s">
        <v>2832</v>
      </c>
      <c r="E822" s="2" t="s">
        <v>405</v>
      </c>
      <c r="F822" s="2" t="s">
        <v>398</v>
      </c>
      <c r="G822" s="2" t="str">
        <f>IF(CustomerTable[[#This Row],[Status]]="RESOLVED","Done",IF(CustomerTable[[#This Row],[Status]]="CLOSED","DONE",IF(CustomerTable[[#This Row],[Status]]="DEFERRED","Done","Pending")))</f>
        <v>Done</v>
      </c>
      <c r="H822" s="2" t="s">
        <v>1034</v>
      </c>
      <c r="I822" s="2" t="s">
        <v>391</v>
      </c>
      <c r="J822" s="2" t="s">
        <v>1851</v>
      </c>
      <c r="K822" s="16">
        <v>46161</v>
      </c>
      <c r="M822" s="16">
        <v>46171</v>
      </c>
    </row>
    <row r="823" spans="1:13" x14ac:dyDescent="0.4">
      <c r="A823" s="2" t="s">
        <v>868</v>
      </c>
      <c r="B823" s="2">
        <f>VALUE(REPLACE(CustomerTable[[#This Row],[Ticket]],1,3,""))</f>
        <v>1084</v>
      </c>
      <c r="C823" s="2" t="s">
        <v>1023</v>
      </c>
      <c r="D823" s="2" t="s">
        <v>2833</v>
      </c>
      <c r="E823" s="2" t="s">
        <v>399</v>
      </c>
      <c r="F823" s="2" t="s">
        <v>398</v>
      </c>
      <c r="G823" s="2" t="str">
        <f>IF(CustomerTable[[#This Row],[Status]]="RESOLVED","Done",IF(CustomerTable[[#This Row],[Status]]="CLOSED","DONE",IF(CustomerTable[[#This Row],[Status]]="DEFERRED","Done","Pending")))</f>
        <v>Done</v>
      </c>
      <c r="H823" s="2" t="s">
        <v>11</v>
      </c>
      <c r="I823" s="2" t="s">
        <v>390</v>
      </c>
      <c r="J823" s="2" t="s">
        <v>1852</v>
      </c>
      <c r="K823" s="16">
        <v>46161</v>
      </c>
      <c r="M823" s="16">
        <v>46178</v>
      </c>
    </row>
    <row r="824" spans="1:13" x14ac:dyDescent="0.4">
      <c r="A824" s="2" t="s">
        <v>869</v>
      </c>
      <c r="B824" s="2">
        <f>VALUE(REPLACE(CustomerTable[[#This Row],[Ticket]],1,3,""))</f>
        <v>1085</v>
      </c>
      <c r="C824" s="2" t="s">
        <v>1023</v>
      </c>
      <c r="D824" s="2" t="s">
        <v>2834</v>
      </c>
      <c r="E824" s="2" t="s">
        <v>405</v>
      </c>
      <c r="F824" s="2" t="s">
        <v>398</v>
      </c>
      <c r="G824" s="2" t="str">
        <f>IF(CustomerTable[[#This Row],[Status]]="RESOLVED","Done",IF(CustomerTable[[#This Row],[Status]]="CLOSED","DONE",IF(CustomerTable[[#This Row],[Status]]="DEFERRED","Done","Pending")))</f>
        <v>Done</v>
      </c>
      <c r="H824" s="2" t="s">
        <v>1028</v>
      </c>
      <c r="I824" s="2" t="s">
        <v>392</v>
      </c>
      <c r="J824" s="2" t="s">
        <v>1853</v>
      </c>
      <c r="K824" s="16">
        <v>46161</v>
      </c>
      <c r="M824" s="16">
        <v>46163</v>
      </c>
    </row>
    <row r="825" spans="1:13" x14ac:dyDescent="0.4">
      <c r="A825" s="2" t="s">
        <v>870</v>
      </c>
      <c r="B825" s="2">
        <f>VALUE(REPLACE(CustomerTable[[#This Row],[Ticket]],1,3,""))</f>
        <v>1086</v>
      </c>
      <c r="C825" s="2" t="s">
        <v>1023</v>
      </c>
      <c r="D825" s="2" t="s">
        <v>2835</v>
      </c>
      <c r="E825" s="2" t="s">
        <v>399</v>
      </c>
      <c r="F825" s="2" t="s">
        <v>398</v>
      </c>
      <c r="G825" s="2" t="str">
        <f>IF(CustomerTable[[#This Row],[Status]]="RESOLVED","Done",IF(CustomerTable[[#This Row],[Status]]="CLOSED","DONE",IF(CustomerTable[[#This Row],[Status]]="DEFERRED","Done","Pending")))</f>
        <v>Done</v>
      </c>
      <c r="H825" s="2" t="s">
        <v>1028</v>
      </c>
      <c r="I825" s="2" t="s">
        <v>389</v>
      </c>
      <c r="J825" s="2" t="s">
        <v>1854</v>
      </c>
      <c r="K825" s="16">
        <v>46161</v>
      </c>
      <c r="M825" s="16">
        <v>46163</v>
      </c>
    </row>
    <row r="826" spans="1:13" x14ac:dyDescent="0.4">
      <c r="A826" s="2" t="s">
        <v>871</v>
      </c>
      <c r="B826" s="2">
        <f>VALUE(REPLACE(CustomerTable[[#This Row],[Ticket]],1,3,""))</f>
        <v>1087</v>
      </c>
      <c r="C826" s="2" t="s">
        <v>1023</v>
      </c>
      <c r="D826" s="2" t="s">
        <v>2836</v>
      </c>
      <c r="E826" s="2" t="s">
        <v>399</v>
      </c>
      <c r="F826" s="2" t="s">
        <v>398</v>
      </c>
      <c r="G826" s="2" t="str">
        <f>IF(CustomerTable[[#This Row],[Status]]="RESOLVED","Done",IF(CustomerTable[[#This Row],[Status]]="CLOSED","DONE",IF(CustomerTable[[#This Row],[Status]]="DEFERRED","Done","Pending")))</f>
        <v>Done</v>
      </c>
      <c r="H826" s="2" t="s">
        <v>1032</v>
      </c>
      <c r="I826" s="2" t="s">
        <v>389</v>
      </c>
      <c r="J826" s="2" t="s">
        <v>1855</v>
      </c>
      <c r="K826" s="16">
        <v>46163</v>
      </c>
      <c r="M826" s="16">
        <v>46174</v>
      </c>
    </row>
    <row r="827" spans="1:13" x14ac:dyDescent="0.4">
      <c r="A827" s="2" t="s">
        <v>872</v>
      </c>
      <c r="B827" s="2">
        <f>VALUE(REPLACE(CustomerTable[[#This Row],[Ticket]],1,3,""))</f>
        <v>1088</v>
      </c>
      <c r="C827" s="2" t="s">
        <v>1023</v>
      </c>
      <c r="D827" s="2" t="s">
        <v>2837</v>
      </c>
      <c r="E827" s="2" t="s">
        <v>405</v>
      </c>
      <c r="F827" s="2" t="s">
        <v>398</v>
      </c>
      <c r="G827" s="2" t="str">
        <f>IF(CustomerTable[[#This Row],[Status]]="RESOLVED","Done",IF(CustomerTable[[#This Row],[Status]]="CLOSED","DONE",IF(CustomerTable[[#This Row],[Status]]="DEFERRED","Done","Pending")))</f>
        <v>Done</v>
      </c>
      <c r="H827" s="2" t="s">
        <v>1034</v>
      </c>
      <c r="I827" s="2" t="s">
        <v>389</v>
      </c>
      <c r="J827" s="2" t="s">
        <v>1856</v>
      </c>
      <c r="K827" s="16">
        <v>46163</v>
      </c>
      <c r="M827" s="16">
        <v>46152</v>
      </c>
    </row>
    <row r="828" spans="1:13" x14ac:dyDescent="0.4">
      <c r="A828" s="2" t="s">
        <v>873</v>
      </c>
      <c r="B828" s="2">
        <f>VALUE(REPLACE(CustomerTable[[#This Row],[Ticket]],1,3,""))</f>
        <v>1089</v>
      </c>
      <c r="C828" s="2" t="s">
        <v>1023</v>
      </c>
      <c r="D828" s="2" t="s">
        <v>2838</v>
      </c>
      <c r="E828" s="2" t="s">
        <v>405</v>
      </c>
      <c r="F828" s="2" t="s">
        <v>398</v>
      </c>
      <c r="G828" s="2" t="str">
        <f>IF(CustomerTable[[#This Row],[Status]]="RESOLVED","Done",IF(CustomerTable[[#This Row],[Status]]="CLOSED","DONE",IF(CustomerTable[[#This Row],[Status]]="DEFERRED","Done","Pending")))</f>
        <v>Done</v>
      </c>
      <c r="H828" s="2" t="s">
        <v>11</v>
      </c>
      <c r="I828" s="2" t="s">
        <v>388</v>
      </c>
      <c r="J828" s="2" t="s">
        <v>1857</v>
      </c>
      <c r="K828" s="16">
        <v>46163</v>
      </c>
      <c r="M828" s="16"/>
    </row>
    <row r="829" spans="1:13" x14ac:dyDescent="0.4">
      <c r="A829" s="2" t="s">
        <v>874</v>
      </c>
      <c r="B829" s="2">
        <f>VALUE(REPLACE(CustomerTable[[#This Row],[Ticket]],1,3,""))</f>
        <v>1090</v>
      </c>
      <c r="C829" s="2" t="s">
        <v>1023</v>
      </c>
      <c r="D829" s="2" t="s">
        <v>2839</v>
      </c>
      <c r="E829" s="2" t="s">
        <v>405</v>
      </c>
      <c r="F829" s="2" t="s">
        <v>398</v>
      </c>
      <c r="G829" s="2" t="str">
        <f>IF(CustomerTable[[#This Row],[Status]]="RESOLVED","Done",IF(CustomerTable[[#This Row],[Status]]="CLOSED","DONE",IF(CustomerTable[[#This Row],[Status]]="DEFERRED","Done","Pending")))</f>
        <v>Done</v>
      </c>
      <c r="H829" s="2" t="s">
        <v>1028</v>
      </c>
      <c r="I829" s="2" t="s">
        <v>389</v>
      </c>
      <c r="J829" s="2" t="s">
        <v>1858</v>
      </c>
      <c r="K829" s="16">
        <v>46163</v>
      </c>
      <c r="M829" s="16">
        <v>46163</v>
      </c>
    </row>
    <row r="830" spans="1:13" x14ac:dyDescent="0.4">
      <c r="A830" s="2" t="s">
        <v>875</v>
      </c>
      <c r="B830" s="2">
        <f>VALUE(REPLACE(CustomerTable[[#This Row],[Ticket]],1,3,""))</f>
        <v>1091</v>
      </c>
      <c r="C830" s="2" t="s">
        <v>1023</v>
      </c>
      <c r="D830" s="2" t="s">
        <v>2840</v>
      </c>
      <c r="E830" s="2" t="s">
        <v>399</v>
      </c>
      <c r="F830" s="2" t="s">
        <v>398</v>
      </c>
      <c r="G830" s="2" t="str">
        <f>IF(CustomerTable[[#This Row],[Status]]="RESOLVED","Done",IF(CustomerTable[[#This Row],[Status]]="CLOSED","DONE",IF(CustomerTable[[#This Row],[Status]]="DEFERRED","Done","Pending")))</f>
        <v>Done</v>
      </c>
      <c r="H830" s="2" t="s">
        <v>1034</v>
      </c>
      <c r="I830" s="2" t="s">
        <v>390</v>
      </c>
      <c r="J830" s="2" t="s">
        <v>1859</v>
      </c>
      <c r="K830" s="16">
        <v>46163</v>
      </c>
      <c r="M830" s="16">
        <v>46171</v>
      </c>
    </row>
    <row r="831" spans="1:13" x14ac:dyDescent="0.4">
      <c r="A831" s="2" t="s">
        <v>876</v>
      </c>
      <c r="B831" s="2">
        <f>VALUE(REPLACE(CustomerTable[[#This Row],[Ticket]],1,3,""))</f>
        <v>1092</v>
      </c>
      <c r="C831" s="2" t="s">
        <v>1023</v>
      </c>
      <c r="D831" s="2" t="s">
        <v>2841</v>
      </c>
      <c r="E831" s="2" t="s">
        <v>399</v>
      </c>
      <c r="F831" s="2" t="s">
        <v>398</v>
      </c>
      <c r="G831" s="2" t="str">
        <f>IF(CustomerTable[[#This Row],[Status]]="RESOLVED","Done",IF(CustomerTable[[#This Row],[Status]]="CLOSED","DONE",IF(CustomerTable[[#This Row],[Status]]="DEFERRED","Done","Pending")))</f>
        <v>Done</v>
      </c>
      <c r="H831" s="2" t="s">
        <v>11</v>
      </c>
      <c r="I831" s="2" t="s">
        <v>390</v>
      </c>
      <c r="J831" s="2" t="s">
        <v>1860</v>
      </c>
      <c r="K831" s="16">
        <v>46163</v>
      </c>
      <c r="M831" s="16">
        <v>46174</v>
      </c>
    </row>
    <row r="832" spans="1:13" x14ac:dyDescent="0.4">
      <c r="A832" s="2" t="s">
        <v>877</v>
      </c>
      <c r="B832" s="2">
        <f>VALUE(REPLACE(CustomerTable[[#This Row],[Ticket]],1,3,""))</f>
        <v>1093</v>
      </c>
      <c r="C832" s="2" t="s">
        <v>1023</v>
      </c>
      <c r="D832" s="2" t="s">
        <v>2842</v>
      </c>
      <c r="E832" s="2" t="s">
        <v>399</v>
      </c>
      <c r="F832" s="2" t="s">
        <v>413</v>
      </c>
      <c r="G832" s="2" t="str">
        <f>IF(CustomerTable[[#This Row],[Status]]="RESOLVED","Done",IF(CustomerTable[[#This Row],[Status]]="CLOSED","DONE",IF(CustomerTable[[#This Row],[Status]]="DEFERRED","Done","Pending")))</f>
        <v>DONE</v>
      </c>
      <c r="H832" s="2" t="s">
        <v>11</v>
      </c>
      <c r="I832" s="2" t="s">
        <v>389</v>
      </c>
      <c r="J832" s="2" t="s">
        <v>1861</v>
      </c>
      <c r="K832" s="16">
        <v>46163</v>
      </c>
      <c r="M832" s="16">
        <v>46163</v>
      </c>
    </row>
    <row r="833" spans="1:13" x14ac:dyDescent="0.4">
      <c r="A833" s="2" t="s">
        <v>878</v>
      </c>
      <c r="B833" s="2">
        <f>VALUE(REPLACE(CustomerTable[[#This Row],[Ticket]],1,3,""))</f>
        <v>1094</v>
      </c>
      <c r="C833" s="2" t="s">
        <v>1023</v>
      </c>
      <c r="D833" s="2" t="s">
        <v>2843</v>
      </c>
      <c r="E833" s="2" t="s">
        <v>405</v>
      </c>
      <c r="F833" s="2" t="s">
        <v>398</v>
      </c>
      <c r="G833" s="2" t="str">
        <f>IF(CustomerTable[[#This Row],[Status]]="RESOLVED","Done",IF(CustomerTable[[#This Row],[Status]]="CLOSED","DONE",IF(CustomerTable[[#This Row],[Status]]="DEFERRED","Done","Pending")))</f>
        <v>Done</v>
      </c>
      <c r="H833" s="2" t="s">
        <v>1028</v>
      </c>
      <c r="I833" s="2" t="s">
        <v>395</v>
      </c>
      <c r="J833" s="2" t="s">
        <v>1862</v>
      </c>
      <c r="K833" s="16">
        <v>46164</v>
      </c>
      <c r="M833" s="16">
        <v>46195</v>
      </c>
    </row>
    <row r="834" spans="1:13" x14ac:dyDescent="0.4">
      <c r="A834" s="2" t="s">
        <v>879</v>
      </c>
      <c r="B834" s="2">
        <f>VALUE(REPLACE(CustomerTable[[#This Row],[Ticket]],1,3,""))</f>
        <v>1095</v>
      </c>
      <c r="C834" s="2" t="s">
        <v>1023</v>
      </c>
      <c r="D834" s="2" t="s">
        <v>2844</v>
      </c>
      <c r="E834" s="2" t="s">
        <v>399</v>
      </c>
      <c r="F834" s="2" t="s">
        <v>398</v>
      </c>
      <c r="G834" s="2" t="str">
        <f>IF(CustomerTable[[#This Row],[Status]]="RESOLVED","Done",IF(CustomerTable[[#This Row],[Status]]="CLOSED","DONE",IF(CustomerTable[[#This Row],[Status]]="DEFERRED","Done","Pending")))</f>
        <v>Done</v>
      </c>
      <c r="H834" s="2" t="s">
        <v>1028</v>
      </c>
      <c r="I834" s="2" t="s">
        <v>389</v>
      </c>
      <c r="J834" s="2" t="s">
        <v>1863</v>
      </c>
      <c r="K834" s="16">
        <v>46165</v>
      </c>
      <c r="M834" s="16">
        <v>46188</v>
      </c>
    </row>
    <row r="835" spans="1:13" x14ac:dyDescent="0.4">
      <c r="A835" s="2" t="s">
        <v>880</v>
      </c>
      <c r="B835" s="2">
        <f>VALUE(REPLACE(CustomerTable[[#This Row],[Ticket]],1,3,""))</f>
        <v>1096</v>
      </c>
      <c r="C835" s="2" t="s">
        <v>1023</v>
      </c>
      <c r="D835" s="2" t="s">
        <v>2845</v>
      </c>
      <c r="E835" s="2" t="s">
        <v>399</v>
      </c>
      <c r="F835" s="2" t="s">
        <v>398</v>
      </c>
      <c r="G835" s="2" t="str">
        <f>IF(CustomerTable[[#This Row],[Status]]="RESOLVED","Done",IF(CustomerTable[[#This Row],[Status]]="CLOSED","DONE",IF(CustomerTable[[#This Row],[Status]]="DEFERRED","Done","Pending")))</f>
        <v>Done</v>
      </c>
      <c r="H835" s="2" t="s">
        <v>1034</v>
      </c>
      <c r="I835" s="2" t="s">
        <v>391</v>
      </c>
      <c r="J835" s="2" t="s">
        <v>1864</v>
      </c>
      <c r="K835" s="16">
        <v>46165</v>
      </c>
      <c r="M835" s="16">
        <v>46169</v>
      </c>
    </row>
    <row r="836" spans="1:13" x14ac:dyDescent="0.4">
      <c r="A836" s="2" t="s">
        <v>881</v>
      </c>
      <c r="B836" s="2">
        <f>VALUE(REPLACE(CustomerTable[[#This Row],[Ticket]],1,3,""))</f>
        <v>1097</v>
      </c>
      <c r="C836" s="2" t="s">
        <v>1023</v>
      </c>
      <c r="D836" s="2" t="s">
        <v>2846</v>
      </c>
      <c r="E836" s="2" t="s">
        <v>405</v>
      </c>
      <c r="F836" s="2" t="s">
        <v>398</v>
      </c>
      <c r="G836" s="2" t="str">
        <f>IF(CustomerTable[[#This Row],[Status]]="RESOLVED","Done",IF(CustomerTable[[#This Row],[Status]]="CLOSED","DONE",IF(CustomerTable[[#This Row],[Status]]="DEFERRED","Done","Pending")))</f>
        <v>Done</v>
      </c>
      <c r="H836" s="2" t="s">
        <v>1028</v>
      </c>
      <c r="I836" s="2" t="s">
        <v>389</v>
      </c>
      <c r="J836" s="2" t="s">
        <v>1865</v>
      </c>
      <c r="K836" s="16">
        <v>46167</v>
      </c>
      <c r="M836" s="16">
        <v>46170</v>
      </c>
    </row>
    <row r="837" spans="1:13" x14ac:dyDescent="0.4">
      <c r="A837" s="2" t="s">
        <v>882</v>
      </c>
      <c r="B837" s="2">
        <f>VALUE(REPLACE(CustomerTable[[#This Row],[Ticket]],1,3,""))</f>
        <v>1098</v>
      </c>
      <c r="C837" s="2" t="s">
        <v>1024</v>
      </c>
      <c r="D837" s="2" t="s">
        <v>2847</v>
      </c>
      <c r="E837" s="2" t="s">
        <v>399</v>
      </c>
      <c r="F837" s="2" t="s">
        <v>398</v>
      </c>
      <c r="G837" s="2" t="str">
        <f>IF(CustomerTable[[#This Row],[Status]]="RESOLVED","Done",IF(CustomerTable[[#This Row],[Status]]="CLOSED","DONE",IF(CustomerTable[[#This Row],[Status]]="DEFERRED","Done","Pending")))</f>
        <v>Done</v>
      </c>
      <c r="H837" s="2" t="s">
        <v>1034</v>
      </c>
      <c r="I837" s="2" t="s">
        <v>392</v>
      </c>
      <c r="J837" s="2" t="s">
        <v>1866</v>
      </c>
      <c r="K837" s="16">
        <v>46167</v>
      </c>
      <c r="M837" s="16">
        <v>46181</v>
      </c>
    </row>
    <row r="838" spans="1:13" x14ac:dyDescent="0.4">
      <c r="A838" s="2" t="s">
        <v>883</v>
      </c>
      <c r="B838" s="2">
        <f>VALUE(REPLACE(CustomerTable[[#This Row],[Ticket]],1,3,""))</f>
        <v>1099</v>
      </c>
      <c r="C838" s="2" t="s">
        <v>1023</v>
      </c>
      <c r="D838" s="2" t="s">
        <v>2848</v>
      </c>
      <c r="E838" s="2" t="s">
        <v>405</v>
      </c>
      <c r="F838" s="2" t="s">
        <v>398</v>
      </c>
      <c r="G838" s="2" t="str">
        <f>IF(CustomerTable[[#This Row],[Status]]="RESOLVED","Done",IF(CustomerTable[[#This Row],[Status]]="CLOSED","DONE",IF(CustomerTable[[#This Row],[Status]]="DEFERRED","Done","Pending")))</f>
        <v>Done</v>
      </c>
      <c r="H838" s="2" t="s">
        <v>1028</v>
      </c>
      <c r="I838" s="2" t="s">
        <v>389</v>
      </c>
      <c r="J838" s="2" t="s">
        <v>1867</v>
      </c>
      <c r="K838" s="16">
        <v>46167</v>
      </c>
      <c r="M838" s="16">
        <v>46188</v>
      </c>
    </row>
    <row r="839" spans="1:13" x14ac:dyDescent="0.4">
      <c r="A839" s="2" t="s">
        <v>884</v>
      </c>
      <c r="B839" s="2">
        <f>VALUE(REPLACE(CustomerTable[[#This Row],[Ticket]],1,3,""))</f>
        <v>1100</v>
      </c>
      <c r="C839" s="2" t="s">
        <v>1023</v>
      </c>
      <c r="D839" s="2" t="s">
        <v>2849</v>
      </c>
      <c r="E839" s="2" t="s">
        <v>405</v>
      </c>
      <c r="F839" s="2" t="s">
        <v>398</v>
      </c>
      <c r="G839" s="2" t="str">
        <f>IF(CustomerTable[[#This Row],[Status]]="RESOLVED","Done",IF(CustomerTable[[#This Row],[Status]]="CLOSED","DONE",IF(CustomerTable[[#This Row],[Status]]="DEFERRED","Done","Pending")))</f>
        <v>Done</v>
      </c>
      <c r="H839" s="2" t="s">
        <v>1034</v>
      </c>
      <c r="I839" s="2" t="s">
        <v>392</v>
      </c>
      <c r="J839" s="2" t="s">
        <v>1868</v>
      </c>
      <c r="K839" s="16">
        <v>46167</v>
      </c>
      <c r="M839" s="16">
        <v>46168</v>
      </c>
    </row>
    <row r="840" spans="1:13" x14ac:dyDescent="0.4">
      <c r="A840" s="2" t="s">
        <v>885</v>
      </c>
      <c r="B840" s="2">
        <f>VALUE(REPLACE(CustomerTable[[#This Row],[Ticket]],1,3,""))</f>
        <v>1101</v>
      </c>
      <c r="C840" s="2" t="s">
        <v>1023</v>
      </c>
      <c r="D840" s="2" t="s">
        <v>2850</v>
      </c>
      <c r="E840" s="2" t="s">
        <v>399</v>
      </c>
      <c r="F840" s="2" t="s">
        <v>413</v>
      </c>
      <c r="G840" s="2" t="str">
        <f>IF(CustomerTable[[#This Row],[Status]]="RESOLVED","Done",IF(CustomerTable[[#This Row],[Status]]="CLOSED","DONE",IF(CustomerTable[[#This Row],[Status]]="DEFERRED","Done","Pending")))</f>
        <v>DONE</v>
      </c>
      <c r="H840" s="2" t="s">
        <v>11</v>
      </c>
      <c r="I840" s="2" t="s">
        <v>390</v>
      </c>
      <c r="J840" s="2" t="s">
        <v>1869</v>
      </c>
      <c r="K840" s="16">
        <v>46167</v>
      </c>
      <c r="M840" s="16"/>
    </row>
    <row r="841" spans="1:13" x14ac:dyDescent="0.4">
      <c r="A841" s="2" t="s">
        <v>886</v>
      </c>
      <c r="B841" s="2">
        <f>VALUE(REPLACE(CustomerTable[[#This Row],[Ticket]],1,3,""))</f>
        <v>1102</v>
      </c>
      <c r="C841" s="2" t="s">
        <v>1023</v>
      </c>
      <c r="D841" s="2" t="s">
        <v>2851</v>
      </c>
      <c r="E841" s="2" t="s">
        <v>405</v>
      </c>
      <c r="F841" s="2" t="s">
        <v>398</v>
      </c>
      <c r="G841" s="2" t="str">
        <f>IF(CustomerTable[[#This Row],[Status]]="RESOLVED","Done",IF(CustomerTable[[#This Row],[Status]]="CLOSED","DONE",IF(CustomerTable[[#This Row],[Status]]="DEFERRED","Done","Pending")))</f>
        <v>Done</v>
      </c>
      <c r="H841" s="2" t="s">
        <v>11</v>
      </c>
      <c r="I841" s="2" t="s">
        <v>389</v>
      </c>
      <c r="J841" s="2" t="s">
        <v>1870</v>
      </c>
      <c r="K841" s="16">
        <v>46168</v>
      </c>
      <c r="M841" s="16">
        <v>46171</v>
      </c>
    </row>
    <row r="842" spans="1:13" x14ac:dyDescent="0.4">
      <c r="A842" s="2" t="s">
        <v>887</v>
      </c>
      <c r="B842" s="2">
        <f>VALUE(REPLACE(CustomerTable[[#This Row],[Ticket]],1,3,""))</f>
        <v>1103</v>
      </c>
      <c r="C842" s="2" t="s">
        <v>1024</v>
      </c>
      <c r="D842" s="2" t="s">
        <v>2852</v>
      </c>
      <c r="E842" s="2" t="s">
        <v>399</v>
      </c>
      <c r="F842" s="2" t="s">
        <v>413</v>
      </c>
      <c r="G842" s="2" t="str">
        <f>IF(CustomerTable[[#This Row],[Status]]="RESOLVED","Done",IF(CustomerTable[[#This Row],[Status]]="CLOSED","DONE",IF(CustomerTable[[#This Row],[Status]]="DEFERRED","Done","Pending")))</f>
        <v>DONE</v>
      </c>
      <c r="H842" s="2" t="s">
        <v>11</v>
      </c>
      <c r="I842" s="2" t="s">
        <v>390</v>
      </c>
      <c r="J842" s="2" t="s">
        <v>1871</v>
      </c>
      <c r="K842" s="16">
        <v>46168</v>
      </c>
      <c r="M842" s="16"/>
    </row>
    <row r="843" spans="1:13" x14ac:dyDescent="0.4">
      <c r="A843" s="2" t="s">
        <v>888</v>
      </c>
      <c r="B843" s="2">
        <f>VALUE(REPLACE(CustomerTable[[#This Row],[Ticket]],1,3,""))</f>
        <v>1104</v>
      </c>
      <c r="C843" s="2" t="s">
        <v>1023</v>
      </c>
      <c r="D843" s="2" t="s">
        <v>2853</v>
      </c>
      <c r="E843" s="2" t="s">
        <v>399</v>
      </c>
      <c r="F843" s="2" t="s">
        <v>398</v>
      </c>
      <c r="G843" s="2" t="str">
        <f>IF(CustomerTable[[#This Row],[Status]]="RESOLVED","Done",IF(CustomerTable[[#This Row],[Status]]="CLOSED","DONE",IF(CustomerTable[[#This Row],[Status]]="DEFERRED","Done","Pending")))</f>
        <v>Done</v>
      </c>
      <c r="H843" s="2" t="s">
        <v>11</v>
      </c>
      <c r="I843" s="2" t="s">
        <v>389</v>
      </c>
      <c r="J843" s="2" t="s">
        <v>1872</v>
      </c>
      <c r="K843" s="16">
        <v>46168</v>
      </c>
      <c r="M843" s="16">
        <v>46181</v>
      </c>
    </row>
    <row r="844" spans="1:13" x14ac:dyDescent="0.4">
      <c r="A844" s="2" t="s">
        <v>889</v>
      </c>
      <c r="B844" s="2">
        <f>VALUE(REPLACE(CustomerTable[[#This Row],[Ticket]],1,3,""))</f>
        <v>1105</v>
      </c>
      <c r="C844" s="2" t="s">
        <v>1024</v>
      </c>
      <c r="D844" s="2" t="s">
        <v>2854</v>
      </c>
      <c r="E844" s="2" t="s">
        <v>405</v>
      </c>
      <c r="F844" s="2" t="s">
        <v>398</v>
      </c>
      <c r="G844" s="2" t="str">
        <f>IF(CustomerTable[[#This Row],[Status]]="RESOLVED","Done",IF(CustomerTable[[#This Row],[Status]]="CLOSED","DONE",IF(CustomerTable[[#This Row],[Status]]="DEFERRED","Done","Pending")))</f>
        <v>Done</v>
      </c>
      <c r="H844" s="2" t="s">
        <v>1034</v>
      </c>
      <c r="I844" s="2" t="s">
        <v>391</v>
      </c>
      <c r="J844" s="2" t="s">
        <v>1873</v>
      </c>
      <c r="K844" s="16">
        <v>46168</v>
      </c>
      <c r="M844" s="16">
        <v>46171</v>
      </c>
    </row>
    <row r="845" spans="1:13" x14ac:dyDescent="0.4">
      <c r="A845" s="2" t="s">
        <v>890</v>
      </c>
      <c r="B845" s="2">
        <f>VALUE(REPLACE(CustomerTable[[#This Row],[Ticket]],1,3,""))</f>
        <v>1106</v>
      </c>
      <c r="C845" s="2" t="s">
        <v>1023</v>
      </c>
      <c r="D845" s="2" t="s">
        <v>2855</v>
      </c>
      <c r="E845" s="2" t="s">
        <v>399</v>
      </c>
      <c r="F845" s="2" t="s">
        <v>398</v>
      </c>
      <c r="G845" s="2" t="str">
        <f>IF(CustomerTable[[#This Row],[Status]]="RESOLVED","Done",IF(CustomerTable[[#This Row],[Status]]="CLOSED","DONE",IF(CustomerTable[[#This Row],[Status]]="DEFERRED","Done","Pending")))</f>
        <v>Done</v>
      </c>
      <c r="H845" s="2" t="s">
        <v>11</v>
      </c>
      <c r="I845" s="2" t="s">
        <v>390</v>
      </c>
      <c r="J845" s="2" t="s">
        <v>1874</v>
      </c>
      <c r="K845" s="16">
        <v>46168</v>
      </c>
      <c r="M845" s="16">
        <v>46178</v>
      </c>
    </row>
    <row r="846" spans="1:13" x14ac:dyDescent="0.4">
      <c r="A846" s="2" t="s">
        <v>891</v>
      </c>
      <c r="B846" s="2">
        <f>VALUE(REPLACE(CustomerTable[[#This Row],[Ticket]],1,3,""))</f>
        <v>1107</v>
      </c>
      <c r="C846" s="2" t="s">
        <v>1023</v>
      </c>
      <c r="D846" s="2" t="s">
        <v>2856</v>
      </c>
      <c r="E846" s="2" t="s">
        <v>399</v>
      </c>
      <c r="F846" s="2" t="s">
        <v>398</v>
      </c>
      <c r="G846" s="2" t="str">
        <f>IF(CustomerTable[[#This Row],[Status]]="RESOLVED","Done",IF(CustomerTable[[#This Row],[Status]]="CLOSED","DONE",IF(CustomerTable[[#This Row],[Status]]="DEFERRED","Done","Pending")))</f>
        <v>Done</v>
      </c>
      <c r="H846" s="2" t="s">
        <v>1034</v>
      </c>
      <c r="I846" s="2" t="s">
        <v>389</v>
      </c>
      <c r="J846" s="2" t="s">
        <v>1875</v>
      </c>
      <c r="K846" s="16">
        <v>46168</v>
      </c>
      <c r="M846" s="16">
        <v>46183</v>
      </c>
    </row>
    <row r="847" spans="1:13" x14ac:dyDescent="0.4">
      <c r="A847" s="2" t="s">
        <v>892</v>
      </c>
      <c r="B847" s="2">
        <f>VALUE(REPLACE(CustomerTable[[#This Row],[Ticket]],1,3,""))</f>
        <v>1108</v>
      </c>
      <c r="C847" s="2" t="s">
        <v>1023</v>
      </c>
      <c r="D847" s="2" t="s">
        <v>2857</v>
      </c>
      <c r="E847" s="2" t="s">
        <v>399</v>
      </c>
      <c r="F847" s="2" t="s">
        <v>398</v>
      </c>
      <c r="G847" s="2" t="str">
        <f>IF(CustomerTable[[#This Row],[Status]]="RESOLVED","Done",IF(CustomerTable[[#This Row],[Status]]="CLOSED","DONE",IF(CustomerTable[[#This Row],[Status]]="DEFERRED","Done","Pending")))</f>
        <v>Done</v>
      </c>
      <c r="H847" s="2" t="s">
        <v>1034</v>
      </c>
      <c r="I847" s="2" t="s">
        <v>392</v>
      </c>
      <c r="J847" s="2" t="s">
        <v>1876</v>
      </c>
      <c r="K847" s="16">
        <v>46168</v>
      </c>
      <c r="M847" s="16">
        <v>46176</v>
      </c>
    </row>
    <row r="848" spans="1:13" x14ac:dyDescent="0.4">
      <c r="A848" s="2" t="s">
        <v>893</v>
      </c>
      <c r="B848" s="2">
        <f>VALUE(REPLACE(CustomerTable[[#This Row],[Ticket]],1,3,""))</f>
        <v>1109</v>
      </c>
      <c r="C848" s="2" t="s">
        <v>1023</v>
      </c>
      <c r="D848" s="2" t="s">
        <v>2858</v>
      </c>
      <c r="E848" s="2" t="s">
        <v>399</v>
      </c>
      <c r="F848" s="2" t="s">
        <v>398</v>
      </c>
      <c r="G848" s="2" t="str">
        <f>IF(CustomerTable[[#This Row],[Status]]="RESOLVED","Done",IF(CustomerTable[[#This Row],[Status]]="CLOSED","DONE",IF(CustomerTable[[#This Row],[Status]]="DEFERRED","Done","Pending")))</f>
        <v>Done</v>
      </c>
      <c r="H848" s="2" t="s">
        <v>1034</v>
      </c>
      <c r="I848" s="2" t="s">
        <v>391</v>
      </c>
      <c r="J848" s="2" t="s">
        <v>1877</v>
      </c>
      <c r="K848" s="16">
        <v>46168</v>
      </c>
      <c r="M848" s="16">
        <v>46172</v>
      </c>
    </row>
    <row r="849" spans="1:13" x14ac:dyDescent="0.4">
      <c r="A849" s="2" t="s">
        <v>894</v>
      </c>
      <c r="B849" s="2">
        <f>VALUE(REPLACE(CustomerTable[[#This Row],[Ticket]],1,3,""))</f>
        <v>1110</v>
      </c>
      <c r="C849" s="2" t="s">
        <v>1023</v>
      </c>
      <c r="D849" s="2" t="s">
        <v>2859</v>
      </c>
      <c r="E849" s="2" t="s">
        <v>399</v>
      </c>
      <c r="F849" s="2" t="s">
        <v>398</v>
      </c>
      <c r="G849" s="2" t="str">
        <f>IF(CustomerTable[[#This Row],[Status]]="RESOLVED","Done",IF(CustomerTable[[#This Row],[Status]]="CLOSED","DONE",IF(CustomerTable[[#This Row],[Status]]="DEFERRED","Done","Pending")))</f>
        <v>Done</v>
      </c>
      <c r="H849" s="2" t="s">
        <v>1034</v>
      </c>
      <c r="I849" s="2" t="s">
        <v>390</v>
      </c>
      <c r="J849" s="2" t="s">
        <v>1878</v>
      </c>
      <c r="K849" s="16">
        <v>46169</v>
      </c>
      <c r="M849" s="16">
        <v>46174</v>
      </c>
    </row>
    <row r="850" spans="1:13" x14ac:dyDescent="0.4">
      <c r="A850" s="2" t="s">
        <v>895</v>
      </c>
      <c r="B850" s="2">
        <f>VALUE(REPLACE(CustomerTable[[#This Row],[Ticket]],1,3,""))</f>
        <v>1111</v>
      </c>
      <c r="C850" s="2" t="s">
        <v>1023</v>
      </c>
      <c r="D850" s="2" t="s">
        <v>2860</v>
      </c>
      <c r="E850" s="2" t="s">
        <v>399</v>
      </c>
      <c r="F850" s="2" t="s">
        <v>398</v>
      </c>
      <c r="G850" s="2" t="str">
        <f>IF(CustomerTable[[#This Row],[Status]]="RESOLVED","Done",IF(CustomerTable[[#This Row],[Status]]="CLOSED","DONE",IF(CustomerTable[[#This Row],[Status]]="DEFERRED","Done","Pending")))</f>
        <v>Done</v>
      </c>
      <c r="H850" s="2" t="s">
        <v>1028</v>
      </c>
      <c r="I850" s="2" t="s">
        <v>392</v>
      </c>
      <c r="J850" s="2" t="s">
        <v>1879</v>
      </c>
      <c r="K850" s="16">
        <v>46169</v>
      </c>
      <c r="M850" s="16">
        <v>46189</v>
      </c>
    </row>
    <row r="851" spans="1:13" x14ac:dyDescent="0.4">
      <c r="A851" s="2" t="s">
        <v>896</v>
      </c>
      <c r="B851" s="2">
        <f>VALUE(REPLACE(CustomerTable[[#This Row],[Ticket]],1,3,""))</f>
        <v>1112</v>
      </c>
      <c r="C851" s="2" t="s">
        <v>1024</v>
      </c>
      <c r="D851" s="2" t="s">
        <v>2861</v>
      </c>
      <c r="E851" s="2" t="s">
        <v>405</v>
      </c>
      <c r="F851" s="2" t="s">
        <v>398</v>
      </c>
      <c r="G851" s="2" t="str">
        <f>IF(CustomerTable[[#This Row],[Status]]="RESOLVED","Done",IF(CustomerTable[[#This Row],[Status]]="CLOSED","DONE",IF(CustomerTable[[#This Row],[Status]]="DEFERRED","Done","Pending")))</f>
        <v>Done</v>
      </c>
      <c r="H851" s="2" t="s">
        <v>1034</v>
      </c>
      <c r="I851" s="2" t="s">
        <v>392</v>
      </c>
      <c r="J851" s="2" t="s">
        <v>1880</v>
      </c>
      <c r="K851" s="16">
        <v>46169</v>
      </c>
      <c r="M851" s="16">
        <v>46192</v>
      </c>
    </row>
    <row r="852" spans="1:13" x14ac:dyDescent="0.4">
      <c r="A852" s="2" t="s">
        <v>897</v>
      </c>
      <c r="B852" s="2">
        <f>VALUE(REPLACE(CustomerTable[[#This Row],[Ticket]],1,3,""))</f>
        <v>1113</v>
      </c>
      <c r="C852" s="2" t="s">
        <v>1024</v>
      </c>
      <c r="D852" s="2" t="s">
        <v>2862</v>
      </c>
      <c r="E852" s="2" t="s">
        <v>405</v>
      </c>
      <c r="F852" s="2" t="s">
        <v>398</v>
      </c>
      <c r="G852" s="2" t="str">
        <f>IF(CustomerTable[[#This Row],[Status]]="RESOLVED","Done",IF(CustomerTable[[#This Row],[Status]]="CLOSED","DONE",IF(CustomerTable[[#This Row],[Status]]="DEFERRED","Done","Pending")))</f>
        <v>Done</v>
      </c>
      <c r="H852" s="2" t="s">
        <v>1034</v>
      </c>
      <c r="I852" s="2" t="s">
        <v>395</v>
      </c>
      <c r="J852" s="2" t="s">
        <v>1881</v>
      </c>
      <c r="K852" s="16">
        <v>46170</v>
      </c>
      <c r="M852" s="16">
        <v>46195</v>
      </c>
    </row>
    <row r="853" spans="1:13" x14ac:dyDescent="0.4">
      <c r="A853" s="2" t="s">
        <v>898</v>
      </c>
      <c r="B853" s="2">
        <f>VALUE(REPLACE(CustomerTable[[#This Row],[Ticket]],1,3,""))</f>
        <v>1114</v>
      </c>
      <c r="C853" s="2" t="s">
        <v>1024</v>
      </c>
      <c r="D853" s="2" t="s">
        <v>2863</v>
      </c>
      <c r="E853" s="2" t="s">
        <v>405</v>
      </c>
      <c r="F853" s="2" t="s">
        <v>398</v>
      </c>
      <c r="G853" s="2" t="str">
        <f>IF(CustomerTable[[#This Row],[Status]]="RESOLVED","Done",IF(CustomerTable[[#This Row],[Status]]="CLOSED","DONE",IF(CustomerTable[[#This Row],[Status]]="DEFERRED","Done","Pending")))</f>
        <v>Done</v>
      </c>
      <c r="H853" s="2" t="s">
        <v>1034</v>
      </c>
      <c r="I853" s="2" t="s">
        <v>393</v>
      </c>
      <c r="J853" s="2" t="s">
        <v>1882</v>
      </c>
      <c r="K853" s="16">
        <v>46170</v>
      </c>
      <c r="M853" s="16">
        <v>46170</v>
      </c>
    </row>
    <row r="854" spans="1:13" x14ac:dyDescent="0.4">
      <c r="A854" s="2" t="s">
        <v>899</v>
      </c>
      <c r="B854" s="2">
        <f>VALUE(REPLACE(CustomerTable[[#This Row],[Ticket]],1,3,""))</f>
        <v>1115</v>
      </c>
      <c r="C854" s="2" t="s">
        <v>1024</v>
      </c>
      <c r="D854" s="2" t="s">
        <v>2864</v>
      </c>
      <c r="E854" s="2" t="s">
        <v>399</v>
      </c>
      <c r="F854" s="2" t="s">
        <v>398</v>
      </c>
      <c r="G854" s="2" t="str">
        <f>IF(CustomerTable[[#This Row],[Status]]="RESOLVED","Done",IF(CustomerTable[[#This Row],[Status]]="CLOSED","DONE",IF(CustomerTable[[#This Row],[Status]]="DEFERRED","Done","Pending")))</f>
        <v>Done</v>
      </c>
      <c r="H854" s="2" t="s">
        <v>1034</v>
      </c>
      <c r="I854" s="2" t="s">
        <v>390</v>
      </c>
      <c r="J854" s="2" t="s">
        <v>1883</v>
      </c>
      <c r="K854" s="16">
        <v>46170</v>
      </c>
      <c r="M854" s="16">
        <v>46182</v>
      </c>
    </row>
    <row r="855" spans="1:13" x14ac:dyDescent="0.4">
      <c r="A855" s="2" t="s">
        <v>900</v>
      </c>
      <c r="B855" s="2">
        <f>VALUE(REPLACE(CustomerTable[[#This Row],[Ticket]],1,3,""))</f>
        <v>1116</v>
      </c>
      <c r="C855" s="2" t="s">
        <v>1023</v>
      </c>
      <c r="D855" s="2" t="s">
        <v>2865</v>
      </c>
      <c r="E855" s="2" t="s">
        <v>405</v>
      </c>
      <c r="F855" s="2" t="s">
        <v>398</v>
      </c>
      <c r="G855" s="2" t="str">
        <f>IF(CustomerTable[[#This Row],[Status]]="RESOLVED","Done",IF(CustomerTable[[#This Row],[Status]]="CLOSED","DONE",IF(CustomerTable[[#This Row],[Status]]="DEFERRED","Done","Pending")))</f>
        <v>Done</v>
      </c>
      <c r="H855" s="2" t="s">
        <v>1028</v>
      </c>
      <c r="I855" s="2" t="s">
        <v>394</v>
      </c>
      <c r="J855" s="2" t="s">
        <v>1884</v>
      </c>
      <c r="K855" s="16">
        <v>46170</v>
      </c>
      <c r="M855" s="16">
        <v>46185</v>
      </c>
    </row>
    <row r="856" spans="1:13" x14ac:dyDescent="0.4">
      <c r="A856" s="2" t="s">
        <v>901</v>
      </c>
      <c r="B856" s="2">
        <f>VALUE(REPLACE(CustomerTable[[#This Row],[Ticket]],1,3,""))</f>
        <v>1117</v>
      </c>
      <c r="C856" s="2" t="s">
        <v>1023</v>
      </c>
      <c r="D856" s="2" t="s">
        <v>2866</v>
      </c>
      <c r="E856" s="2" t="s">
        <v>399</v>
      </c>
      <c r="F856" s="2" t="s">
        <v>413</v>
      </c>
      <c r="G856" s="2" t="str">
        <f>IF(CustomerTable[[#This Row],[Status]]="RESOLVED","Done",IF(CustomerTable[[#This Row],[Status]]="CLOSED","DONE",IF(CustomerTable[[#This Row],[Status]]="DEFERRED","Done","Pending")))</f>
        <v>DONE</v>
      </c>
      <c r="H856" s="2" t="s">
        <v>11</v>
      </c>
      <c r="I856" s="2" t="s">
        <v>392</v>
      </c>
      <c r="J856" s="2" t="s">
        <v>1885</v>
      </c>
      <c r="K856" s="16">
        <v>46170</v>
      </c>
      <c r="M856" s="16"/>
    </row>
    <row r="857" spans="1:13" x14ac:dyDescent="0.4">
      <c r="A857" s="2" t="s">
        <v>902</v>
      </c>
      <c r="B857" s="2">
        <f>VALUE(REPLACE(CustomerTable[[#This Row],[Ticket]],1,3,""))</f>
        <v>1118</v>
      </c>
      <c r="C857" s="2" t="s">
        <v>1023</v>
      </c>
      <c r="D857" s="2" t="s">
        <v>2867</v>
      </c>
      <c r="E857" s="2" t="s">
        <v>405</v>
      </c>
      <c r="F857" s="2" t="s">
        <v>398</v>
      </c>
      <c r="G857" s="2" t="str">
        <f>IF(CustomerTable[[#This Row],[Status]]="RESOLVED","Done",IF(CustomerTable[[#This Row],[Status]]="CLOSED","DONE",IF(CustomerTable[[#This Row],[Status]]="DEFERRED","Done","Pending")))</f>
        <v>Done</v>
      </c>
      <c r="H857" s="2" t="s">
        <v>1028</v>
      </c>
      <c r="I857" s="2" t="s">
        <v>392</v>
      </c>
      <c r="J857" s="2" t="s">
        <v>1886</v>
      </c>
      <c r="K857" s="16">
        <v>46170</v>
      </c>
      <c r="M857" s="16">
        <v>46184</v>
      </c>
    </row>
    <row r="858" spans="1:13" x14ac:dyDescent="0.4">
      <c r="A858" s="2" t="s">
        <v>903</v>
      </c>
      <c r="B858" s="2">
        <f>VALUE(REPLACE(CustomerTable[[#This Row],[Ticket]],1,3,""))</f>
        <v>1119</v>
      </c>
      <c r="C858" s="2" t="s">
        <v>1023</v>
      </c>
      <c r="D858" s="2" t="s">
        <v>2868</v>
      </c>
      <c r="E858" s="2" t="s">
        <v>405</v>
      </c>
      <c r="F858" s="2" t="s">
        <v>398</v>
      </c>
      <c r="G858" s="2" t="str">
        <f>IF(CustomerTable[[#This Row],[Status]]="RESOLVED","Done",IF(CustomerTable[[#This Row],[Status]]="CLOSED","DONE",IF(CustomerTable[[#This Row],[Status]]="DEFERRED","Done","Pending")))</f>
        <v>Done</v>
      </c>
      <c r="H858" s="2" t="s">
        <v>1028</v>
      </c>
      <c r="I858" s="2" t="s">
        <v>389</v>
      </c>
      <c r="J858" s="2" t="s">
        <v>1887</v>
      </c>
      <c r="K858" s="16">
        <v>46170</v>
      </c>
      <c r="M858" s="16">
        <v>46191</v>
      </c>
    </row>
    <row r="859" spans="1:13" x14ac:dyDescent="0.4">
      <c r="A859" s="2" t="s">
        <v>904</v>
      </c>
      <c r="B859" s="2">
        <f>VALUE(REPLACE(CustomerTable[[#This Row],[Ticket]],1,3,""))</f>
        <v>1120</v>
      </c>
      <c r="C859" s="2" t="s">
        <v>1023</v>
      </c>
      <c r="D859" s="2" t="s">
        <v>2869</v>
      </c>
      <c r="E859" s="2" t="s">
        <v>399</v>
      </c>
      <c r="F859" s="2" t="s">
        <v>398</v>
      </c>
      <c r="G859" s="2" t="str">
        <f>IF(CustomerTable[[#This Row],[Status]]="RESOLVED","Done",IF(CustomerTable[[#This Row],[Status]]="CLOSED","DONE",IF(CustomerTable[[#This Row],[Status]]="DEFERRED","Done","Pending")))</f>
        <v>Done</v>
      </c>
      <c r="H859" s="2" t="s">
        <v>1028</v>
      </c>
      <c r="I859" s="2" t="s">
        <v>389</v>
      </c>
      <c r="J859" s="2" t="s">
        <v>1888</v>
      </c>
      <c r="K859" s="16">
        <v>46171</v>
      </c>
      <c r="M859" s="16">
        <v>46182</v>
      </c>
    </row>
    <row r="860" spans="1:13" x14ac:dyDescent="0.4">
      <c r="A860" s="2" t="s">
        <v>905</v>
      </c>
      <c r="B860" s="2">
        <f>VALUE(REPLACE(CustomerTable[[#This Row],[Ticket]],1,3,""))</f>
        <v>1122</v>
      </c>
      <c r="C860" s="2" t="s">
        <v>1023</v>
      </c>
      <c r="D860" s="2" t="s">
        <v>2870</v>
      </c>
      <c r="E860" s="2" t="s">
        <v>405</v>
      </c>
      <c r="F860" s="2" t="s">
        <v>398</v>
      </c>
      <c r="G860" s="2" t="str">
        <f>IF(CustomerTable[[#This Row],[Status]]="RESOLVED","Done",IF(CustomerTable[[#This Row],[Status]]="CLOSED","DONE",IF(CustomerTable[[#This Row],[Status]]="DEFERRED","Done","Pending")))</f>
        <v>Done</v>
      </c>
      <c r="H860" s="2" t="s">
        <v>1034</v>
      </c>
      <c r="I860" s="2" t="s">
        <v>392</v>
      </c>
      <c r="J860" s="2" t="s">
        <v>1889</v>
      </c>
      <c r="K860" s="16">
        <v>46171</v>
      </c>
      <c r="M860" s="16">
        <v>46204</v>
      </c>
    </row>
    <row r="861" spans="1:13" x14ac:dyDescent="0.4">
      <c r="A861" s="2" t="s">
        <v>906</v>
      </c>
      <c r="B861" s="2">
        <f>VALUE(REPLACE(CustomerTable[[#This Row],[Ticket]],1,3,""))</f>
        <v>1123</v>
      </c>
      <c r="C861" s="2" t="s">
        <v>1023</v>
      </c>
      <c r="D861" s="2" t="s">
        <v>2871</v>
      </c>
      <c r="E861" s="2" t="s">
        <v>399</v>
      </c>
      <c r="F861" s="2" t="s">
        <v>398</v>
      </c>
      <c r="G861" s="2" t="str">
        <f>IF(CustomerTable[[#This Row],[Status]]="RESOLVED","Done",IF(CustomerTable[[#This Row],[Status]]="CLOSED","DONE",IF(CustomerTable[[#This Row],[Status]]="DEFERRED","Done","Pending")))</f>
        <v>Done</v>
      </c>
      <c r="H861" s="2" t="s">
        <v>1034</v>
      </c>
      <c r="I861" s="2" t="s">
        <v>389</v>
      </c>
      <c r="J861" s="2" t="s">
        <v>1890</v>
      </c>
      <c r="K861" s="16">
        <v>46171</v>
      </c>
      <c r="M861" s="16">
        <v>46185</v>
      </c>
    </row>
    <row r="862" spans="1:13" x14ac:dyDescent="0.4">
      <c r="A862" s="2" t="s">
        <v>907</v>
      </c>
      <c r="B862" s="2">
        <f>VALUE(REPLACE(CustomerTable[[#This Row],[Ticket]],1,3,""))</f>
        <v>1124</v>
      </c>
      <c r="C862" s="2" t="s">
        <v>1023</v>
      </c>
      <c r="D862" s="2" t="s">
        <v>2872</v>
      </c>
      <c r="E862" s="2" t="s">
        <v>399</v>
      </c>
      <c r="F862" s="2" t="s">
        <v>398</v>
      </c>
      <c r="G862" s="2" t="str">
        <f>IF(CustomerTable[[#This Row],[Status]]="RESOLVED","Done",IF(CustomerTable[[#This Row],[Status]]="CLOSED","DONE",IF(CustomerTable[[#This Row],[Status]]="DEFERRED","Done","Pending")))</f>
        <v>Done</v>
      </c>
      <c r="H862" s="2" t="s">
        <v>11</v>
      </c>
      <c r="I862" s="2" t="s">
        <v>393</v>
      </c>
      <c r="J862" s="2" t="s">
        <v>1891</v>
      </c>
      <c r="K862" s="16">
        <v>46174</v>
      </c>
      <c r="M862" s="16">
        <v>46181</v>
      </c>
    </row>
    <row r="863" spans="1:13" x14ac:dyDescent="0.4">
      <c r="A863" s="2" t="s">
        <v>908</v>
      </c>
      <c r="B863" s="2">
        <f>VALUE(REPLACE(CustomerTable[[#This Row],[Ticket]],1,3,""))</f>
        <v>1125</v>
      </c>
      <c r="C863" s="2" t="s">
        <v>1023</v>
      </c>
      <c r="D863" s="2" t="s">
        <v>2873</v>
      </c>
      <c r="E863" s="2" t="s">
        <v>405</v>
      </c>
      <c r="F863" s="2" t="s">
        <v>398</v>
      </c>
      <c r="G863" s="2" t="str">
        <f>IF(CustomerTable[[#This Row],[Status]]="RESOLVED","Done",IF(CustomerTable[[#This Row],[Status]]="CLOSED","DONE",IF(CustomerTable[[#This Row],[Status]]="DEFERRED","Done","Pending")))</f>
        <v>Done</v>
      </c>
      <c r="H863" s="2" t="s">
        <v>11</v>
      </c>
      <c r="I863" s="2" t="s">
        <v>393</v>
      </c>
      <c r="J863" s="2" t="s">
        <v>1892</v>
      </c>
      <c r="K863" s="16">
        <v>46174</v>
      </c>
      <c r="M863" s="16">
        <v>46181</v>
      </c>
    </row>
    <row r="864" spans="1:13" x14ac:dyDescent="0.4">
      <c r="A864" s="2" t="s">
        <v>909</v>
      </c>
      <c r="B864" s="2">
        <f>VALUE(REPLACE(CustomerTable[[#This Row],[Ticket]],1,3,""))</f>
        <v>1126</v>
      </c>
      <c r="C864" s="2" t="s">
        <v>1023</v>
      </c>
      <c r="D864" s="2" t="s">
        <v>2874</v>
      </c>
      <c r="E864" s="2" t="s">
        <v>405</v>
      </c>
      <c r="F864" s="2" t="s">
        <v>398</v>
      </c>
      <c r="G864" s="2" t="str">
        <f>IF(CustomerTable[[#This Row],[Status]]="RESOLVED","Done",IF(CustomerTable[[#This Row],[Status]]="CLOSED","DONE",IF(CustomerTable[[#This Row],[Status]]="DEFERRED","Done","Pending")))</f>
        <v>Done</v>
      </c>
      <c r="H864" s="2" t="s">
        <v>1028</v>
      </c>
      <c r="I864" s="2" t="s">
        <v>392</v>
      </c>
      <c r="J864" s="2" t="s">
        <v>1893</v>
      </c>
      <c r="K864" s="16">
        <v>46174</v>
      </c>
      <c r="M864" s="16">
        <v>46182</v>
      </c>
    </row>
    <row r="865" spans="1:13" x14ac:dyDescent="0.4">
      <c r="A865" s="2" t="s">
        <v>910</v>
      </c>
      <c r="B865" s="2">
        <f>VALUE(REPLACE(CustomerTable[[#This Row],[Ticket]],1,3,""))</f>
        <v>1127</v>
      </c>
      <c r="C865" s="2" t="s">
        <v>1023</v>
      </c>
      <c r="D865" s="2" t="s">
        <v>2875</v>
      </c>
      <c r="E865" s="2" t="s">
        <v>405</v>
      </c>
      <c r="F865" s="2" t="s">
        <v>398</v>
      </c>
      <c r="G865" s="2" t="str">
        <f>IF(CustomerTable[[#This Row],[Status]]="RESOLVED","Done",IF(CustomerTable[[#This Row],[Status]]="CLOSED","DONE",IF(CustomerTable[[#This Row],[Status]]="DEFERRED","Done","Pending")))</f>
        <v>Done</v>
      </c>
      <c r="H865" s="2" t="s">
        <v>1028</v>
      </c>
      <c r="I865" s="2" t="s">
        <v>389</v>
      </c>
      <c r="J865" s="2" t="s">
        <v>1894</v>
      </c>
      <c r="K865" s="16">
        <v>46174</v>
      </c>
      <c r="M865" s="16">
        <v>46182</v>
      </c>
    </row>
    <row r="866" spans="1:13" x14ac:dyDescent="0.4">
      <c r="A866" s="2" t="s">
        <v>911</v>
      </c>
      <c r="B866" s="2">
        <f>VALUE(REPLACE(CustomerTable[[#This Row],[Ticket]],1,3,""))</f>
        <v>1128</v>
      </c>
      <c r="C866" s="2" t="s">
        <v>1023</v>
      </c>
      <c r="D866" s="2" t="s">
        <v>2876</v>
      </c>
      <c r="E866" s="2" t="s">
        <v>399</v>
      </c>
      <c r="F866" s="2" t="s">
        <v>398</v>
      </c>
      <c r="G866" s="2" t="str">
        <f>IF(CustomerTable[[#This Row],[Status]]="RESOLVED","Done",IF(CustomerTable[[#This Row],[Status]]="CLOSED","DONE",IF(CustomerTable[[#This Row],[Status]]="DEFERRED","Done","Pending")))</f>
        <v>Done</v>
      </c>
      <c r="H866" s="2" t="s">
        <v>11</v>
      </c>
      <c r="I866" s="2" t="s">
        <v>390</v>
      </c>
      <c r="J866" s="2" t="s">
        <v>1895</v>
      </c>
      <c r="K866" s="16">
        <v>46174</v>
      </c>
      <c r="M866" s="16">
        <v>46174</v>
      </c>
    </row>
    <row r="867" spans="1:13" x14ac:dyDescent="0.4">
      <c r="A867" s="2" t="s">
        <v>912</v>
      </c>
      <c r="B867" s="2">
        <f>VALUE(REPLACE(CustomerTable[[#This Row],[Ticket]],1,3,""))</f>
        <v>1129</v>
      </c>
      <c r="C867" s="2" t="s">
        <v>1023</v>
      </c>
      <c r="D867" s="2" t="s">
        <v>2877</v>
      </c>
      <c r="E867" s="2" t="s">
        <v>400</v>
      </c>
      <c r="F867" s="2" t="s">
        <v>398</v>
      </c>
      <c r="G867" s="2" t="str">
        <f>IF(CustomerTable[[#This Row],[Status]]="RESOLVED","Done",IF(CustomerTable[[#This Row],[Status]]="CLOSED","DONE",IF(CustomerTable[[#This Row],[Status]]="DEFERRED","Done","Pending")))</f>
        <v>Done</v>
      </c>
      <c r="H867" s="2" t="s">
        <v>1028</v>
      </c>
      <c r="I867" s="2" t="s">
        <v>389</v>
      </c>
      <c r="J867" s="2" t="s">
        <v>1896</v>
      </c>
      <c r="K867" s="16">
        <v>46174</v>
      </c>
      <c r="M867" s="16">
        <v>46188</v>
      </c>
    </row>
    <row r="868" spans="1:13" x14ac:dyDescent="0.4">
      <c r="A868" s="2" t="s">
        <v>913</v>
      </c>
      <c r="B868" s="2">
        <f>VALUE(REPLACE(CustomerTable[[#This Row],[Ticket]],1,3,""))</f>
        <v>1130</v>
      </c>
      <c r="C868" s="2" t="s">
        <v>1023</v>
      </c>
      <c r="D868" s="2" t="s">
        <v>2878</v>
      </c>
      <c r="E868" s="2" t="s">
        <v>399</v>
      </c>
      <c r="F868" s="2" t="s">
        <v>398</v>
      </c>
      <c r="G868" s="2" t="str">
        <f>IF(CustomerTable[[#This Row],[Status]]="RESOLVED","Done",IF(CustomerTable[[#This Row],[Status]]="CLOSED","DONE",IF(CustomerTable[[#This Row],[Status]]="DEFERRED","Done","Pending")))</f>
        <v>Done</v>
      </c>
      <c r="H868" s="2" t="s">
        <v>11</v>
      </c>
      <c r="I868" s="2" t="s">
        <v>390</v>
      </c>
      <c r="J868" s="2" t="s">
        <v>1897</v>
      </c>
      <c r="K868" s="16">
        <v>46174</v>
      </c>
      <c r="M868" s="16">
        <v>46181</v>
      </c>
    </row>
    <row r="869" spans="1:13" x14ac:dyDescent="0.4">
      <c r="A869" s="2" t="s">
        <v>914</v>
      </c>
      <c r="B869" s="2">
        <f>VALUE(REPLACE(CustomerTable[[#This Row],[Ticket]],1,3,""))</f>
        <v>1131</v>
      </c>
      <c r="C869" s="2" t="s">
        <v>1023</v>
      </c>
      <c r="D869" s="2" t="s">
        <v>2879</v>
      </c>
      <c r="E869" s="2" t="s">
        <v>405</v>
      </c>
      <c r="F869" s="2" t="s">
        <v>398</v>
      </c>
      <c r="G869" s="2" t="str">
        <f>IF(CustomerTable[[#This Row],[Status]]="RESOLVED","Done",IF(CustomerTable[[#This Row],[Status]]="CLOSED","DONE",IF(CustomerTable[[#This Row],[Status]]="DEFERRED","Done","Pending")))</f>
        <v>Done</v>
      </c>
      <c r="H869" s="2" t="s">
        <v>1028</v>
      </c>
      <c r="I869" s="2" t="s">
        <v>392</v>
      </c>
      <c r="J869" s="2" t="s">
        <v>1898</v>
      </c>
      <c r="K869" s="16">
        <v>46175</v>
      </c>
      <c r="M869" s="16">
        <v>46182</v>
      </c>
    </row>
    <row r="870" spans="1:13" x14ac:dyDescent="0.4">
      <c r="A870" s="2" t="s">
        <v>915</v>
      </c>
      <c r="B870" s="2">
        <f>VALUE(REPLACE(CustomerTable[[#This Row],[Ticket]],1,3,""))</f>
        <v>1132</v>
      </c>
      <c r="C870" s="2" t="s">
        <v>1023</v>
      </c>
      <c r="D870" s="2" t="s">
        <v>2880</v>
      </c>
      <c r="E870" s="2" t="s">
        <v>399</v>
      </c>
      <c r="F870" s="2" t="s">
        <v>398</v>
      </c>
      <c r="G870" s="2" t="str">
        <f>IF(CustomerTable[[#This Row],[Status]]="RESOLVED","Done",IF(CustomerTable[[#This Row],[Status]]="CLOSED","DONE",IF(CustomerTable[[#This Row],[Status]]="DEFERRED","Done","Pending")))</f>
        <v>Done</v>
      </c>
      <c r="H870" s="2" t="s">
        <v>11</v>
      </c>
      <c r="I870" s="2" t="s">
        <v>390</v>
      </c>
      <c r="J870" s="2" t="s">
        <v>1899</v>
      </c>
      <c r="K870" s="16">
        <v>46175</v>
      </c>
      <c r="M870" s="16">
        <v>46181</v>
      </c>
    </row>
    <row r="871" spans="1:13" x14ac:dyDescent="0.4">
      <c r="A871" s="2" t="s">
        <v>916</v>
      </c>
      <c r="B871" s="2">
        <f>VALUE(REPLACE(CustomerTable[[#This Row],[Ticket]],1,3,""))</f>
        <v>1133</v>
      </c>
      <c r="C871" s="2" t="s">
        <v>1023</v>
      </c>
      <c r="D871" s="2" t="s">
        <v>2881</v>
      </c>
      <c r="E871" s="2" t="s">
        <v>405</v>
      </c>
      <c r="F871" s="2" t="s">
        <v>398</v>
      </c>
      <c r="G871" s="2" t="str">
        <f>IF(CustomerTable[[#This Row],[Status]]="RESOLVED","Done",IF(CustomerTable[[#This Row],[Status]]="CLOSED","DONE",IF(CustomerTable[[#This Row],[Status]]="DEFERRED","Done","Pending")))</f>
        <v>Done</v>
      </c>
      <c r="H871" s="2" t="s">
        <v>1028</v>
      </c>
      <c r="I871" s="2" t="s">
        <v>392</v>
      </c>
      <c r="J871" s="2" t="s">
        <v>1900</v>
      </c>
      <c r="K871" s="16">
        <v>46175</v>
      </c>
      <c r="M871" s="16">
        <v>46195</v>
      </c>
    </row>
    <row r="872" spans="1:13" x14ac:dyDescent="0.4">
      <c r="A872" s="2" t="s">
        <v>917</v>
      </c>
      <c r="B872" s="2">
        <f>VALUE(REPLACE(CustomerTable[[#This Row],[Ticket]],1,3,""))</f>
        <v>1134</v>
      </c>
      <c r="C872" s="2" t="s">
        <v>1023</v>
      </c>
      <c r="D872" s="2" t="s">
        <v>2882</v>
      </c>
      <c r="E872" s="2" t="s">
        <v>405</v>
      </c>
      <c r="F872" s="2" t="s">
        <v>398</v>
      </c>
      <c r="G872" s="2" t="str">
        <f>IF(CustomerTable[[#This Row],[Status]]="RESOLVED","Done",IF(CustomerTable[[#This Row],[Status]]="CLOSED","DONE",IF(CustomerTable[[#This Row],[Status]]="DEFERRED","Done","Pending")))</f>
        <v>Done</v>
      </c>
      <c r="H872" s="2" t="s">
        <v>1028</v>
      </c>
      <c r="I872" s="2" t="s">
        <v>391</v>
      </c>
      <c r="J872" s="2" t="s">
        <v>1901</v>
      </c>
      <c r="K872" s="16">
        <v>46175</v>
      </c>
      <c r="M872" s="16">
        <v>46185</v>
      </c>
    </row>
    <row r="873" spans="1:13" x14ac:dyDescent="0.4">
      <c r="A873" s="2" t="s">
        <v>918</v>
      </c>
      <c r="B873" s="2">
        <f>VALUE(REPLACE(CustomerTable[[#This Row],[Ticket]],1,3,""))</f>
        <v>1135</v>
      </c>
      <c r="C873" s="2" t="s">
        <v>1023</v>
      </c>
      <c r="D873" s="2" t="s">
        <v>2883</v>
      </c>
      <c r="E873" s="2" t="s">
        <v>399</v>
      </c>
      <c r="F873" s="2" t="s">
        <v>398</v>
      </c>
      <c r="G873" s="2" t="str">
        <f>IF(CustomerTable[[#This Row],[Status]]="RESOLVED","Done",IF(CustomerTable[[#This Row],[Status]]="CLOSED","DONE",IF(CustomerTable[[#This Row],[Status]]="DEFERRED","Done","Pending")))</f>
        <v>Done</v>
      </c>
      <c r="H873" s="2" t="s">
        <v>11</v>
      </c>
      <c r="I873" s="2" t="s">
        <v>390</v>
      </c>
      <c r="J873" s="2" t="s">
        <v>1902</v>
      </c>
      <c r="K873" s="16">
        <v>46175</v>
      </c>
      <c r="M873" s="16">
        <v>46181</v>
      </c>
    </row>
    <row r="874" spans="1:13" x14ac:dyDescent="0.4">
      <c r="A874" s="2" t="s">
        <v>919</v>
      </c>
      <c r="B874" s="2">
        <f>VALUE(REPLACE(CustomerTable[[#This Row],[Ticket]],1,3,""))</f>
        <v>1136</v>
      </c>
      <c r="C874" s="2" t="s">
        <v>1023</v>
      </c>
      <c r="D874" s="2" t="s">
        <v>2884</v>
      </c>
      <c r="E874" s="2" t="s">
        <v>405</v>
      </c>
      <c r="F874" s="2" t="s">
        <v>398</v>
      </c>
      <c r="G874" s="2" t="str">
        <f>IF(CustomerTable[[#This Row],[Status]]="RESOLVED","Done",IF(CustomerTable[[#This Row],[Status]]="CLOSED","DONE",IF(CustomerTable[[#This Row],[Status]]="DEFERRED","Done","Pending")))</f>
        <v>Done</v>
      </c>
      <c r="H874" s="2" t="s">
        <v>1028</v>
      </c>
      <c r="I874" s="2" t="s">
        <v>392</v>
      </c>
      <c r="J874" s="2" t="s">
        <v>1903</v>
      </c>
      <c r="K874" s="16">
        <v>46175</v>
      </c>
      <c r="M874" s="16">
        <v>46188</v>
      </c>
    </row>
    <row r="875" spans="1:13" x14ac:dyDescent="0.4">
      <c r="A875" s="2" t="s">
        <v>920</v>
      </c>
      <c r="B875" s="2">
        <f>VALUE(REPLACE(CustomerTable[[#This Row],[Ticket]],1,3,""))</f>
        <v>1137</v>
      </c>
      <c r="C875" s="2" t="s">
        <v>1023</v>
      </c>
      <c r="D875" s="2" t="s">
        <v>2885</v>
      </c>
      <c r="E875" s="2" t="s">
        <v>405</v>
      </c>
      <c r="F875" s="2" t="s">
        <v>398</v>
      </c>
      <c r="G875" s="2" t="str">
        <f>IF(CustomerTable[[#This Row],[Status]]="RESOLVED","Done",IF(CustomerTable[[#This Row],[Status]]="CLOSED","DONE",IF(CustomerTable[[#This Row],[Status]]="DEFERRED","Done","Pending")))</f>
        <v>Done</v>
      </c>
      <c r="H875" s="2" t="s">
        <v>1028</v>
      </c>
      <c r="I875" s="2" t="s">
        <v>391</v>
      </c>
      <c r="J875" s="2" t="s">
        <v>1904</v>
      </c>
      <c r="K875" s="16">
        <v>46175</v>
      </c>
      <c r="M875" s="16">
        <v>46189</v>
      </c>
    </row>
    <row r="876" spans="1:13" x14ac:dyDescent="0.4">
      <c r="A876" s="2" t="s">
        <v>921</v>
      </c>
      <c r="B876" s="2">
        <f>VALUE(REPLACE(CustomerTable[[#This Row],[Ticket]],1,3,""))</f>
        <v>1138</v>
      </c>
      <c r="C876" s="2" t="s">
        <v>1023</v>
      </c>
      <c r="D876" s="2" t="s">
        <v>2886</v>
      </c>
      <c r="E876" s="2" t="s">
        <v>399</v>
      </c>
      <c r="F876" s="2" t="s">
        <v>398</v>
      </c>
      <c r="G876" s="2" t="str">
        <f>IF(CustomerTable[[#This Row],[Status]]="RESOLVED","Done",IF(CustomerTable[[#This Row],[Status]]="CLOSED","DONE",IF(CustomerTable[[#This Row],[Status]]="DEFERRED","Done","Pending")))</f>
        <v>Done</v>
      </c>
      <c r="H876" s="2" t="s">
        <v>1034</v>
      </c>
      <c r="I876" s="2" t="s">
        <v>395</v>
      </c>
      <c r="J876" s="2" t="s">
        <v>1905</v>
      </c>
      <c r="K876" s="16">
        <v>46175</v>
      </c>
      <c r="M876" s="16">
        <v>46191</v>
      </c>
    </row>
    <row r="877" spans="1:13" x14ac:dyDescent="0.4">
      <c r="A877" s="2" t="s">
        <v>922</v>
      </c>
      <c r="B877" s="2">
        <f>VALUE(REPLACE(CustomerTable[[#This Row],[Ticket]],1,3,""))</f>
        <v>1139</v>
      </c>
      <c r="C877" s="2" t="s">
        <v>1023</v>
      </c>
      <c r="D877" s="2" t="s">
        <v>2887</v>
      </c>
      <c r="E877" s="2" t="s">
        <v>405</v>
      </c>
      <c r="F877" s="2" t="s">
        <v>398</v>
      </c>
      <c r="G877" s="2" t="str">
        <f>IF(CustomerTable[[#This Row],[Status]]="RESOLVED","Done",IF(CustomerTable[[#This Row],[Status]]="CLOSED","DONE",IF(CustomerTable[[#This Row],[Status]]="DEFERRED","Done","Pending")))</f>
        <v>Done</v>
      </c>
      <c r="H877" s="2" t="s">
        <v>1028</v>
      </c>
      <c r="I877" s="2" t="s">
        <v>392</v>
      </c>
      <c r="J877" s="2" t="s">
        <v>1906</v>
      </c>
      <c r="K877" s="16">
        <v>46176</v>
      </c>
      <c r="M877" s="16">
        <v>46188</v>
      </c>
    </row>
    <row r="878" spans="1:13" x14ac:dyDescent="0.4">
      <c r="A878" s="2" t="s">
        <v>923</v>
      </c>
      <c r="B878" s="2">
        <f>VALUE(REPLACE(CustomerTable[[#This Row],[Ticket]],1,3,""))</f>
        <v>1140</v>
      </c>
      <c r="C878" s="2" t="s">
        <v>1023</v>
      </c>
      <c r="D878" s="2" t="s">
        <v>2888</v>
      </c>
      <c r="E878" s="2" t="s">
        <v>405</v>
      </c>
      <c r="F878" s="2" t="s">
        <v>398</v>
      </c>
      <c r="G878" s="2" t="str">
        <f>IF(CustomerTable[[#This Row],[Status]]="RESOLVED","Done",IF(CustomerTable[[#This Row],[Status]]="CLOSED","DONE",IF(CustomerTable[[#This Row],[Status]]="DEFERRED","Done","Pending")))</f>
        <v>Done</v>
      </c>
      <c r="H878" s="2" t="s">
        <v>11</v>
      </c>
      <c r="I878" s="2" t="s">
        <v>392</v>
      </c>
      <c r="J878" s="2" t="s">
        <v>1907</v>
      </c>
      <c r="K878" s="16">
        <v>46176</v>
      </c>
      <c r="M878" s="16">
        <v>46195</v>
      </c>
    </row>
    <row r="879" spans="1:13" x14ac:dyDescent="0.4">
      <c r="A879" s="2" t="s">
        <v>924</v>
      </c>
      <c r="B879" s="2">
        <f>VALUE(REPLACE(CustomerTable[[#This Row],[Ticket]],1,3,""))</f>
        <v>1141</v>
      </c>
      <c r="C879" s="2" t="s">
        <v>1023</v>
      </c>
      <c r="D879" s="2" t="s">
        <v>2889</v>
      </c>
      <c r="E879" s="2" t="s">
        <v>405</v>
      </c>
      <c r="F879" s="2" t="s">
        <v>398</v>
      </c>
      <c r="G879" s="2" t="str">
        <f>IF(CustomerTable[[#This Row],[Status]]="RESOLVED","Done",IF(CustomerTable[[#This Row],[Status]]="CLOSED","DONE",IF(CustomerTable[[#This Row],[Status]]="DEFERRED","Done","Pending")))</f>
        <v>Done</v>
      </c>
      <c r="H879" s="2" t="s">
        <v>1028</v>
      </c>
      <c r="I879" s="2" t="s">
        <v>392</v>
      </c>
      <c r="J879" s="2" t="s">
        <v>1908</v>
      </c>
      <c r="K879" s="16">
        <v>46176</v>
      </c>
      <c r="M879" s="16">
        <v>46184</v>
      </c>
    </row>
    <row r="880" spans="1:13" x14ac:dyDescent="0.4">
      <c r="A880" s="2" t="s">
        <v>925</v>
      </c>
      <c r="B880" s="2">
        <f>VALUE(REPLACE(CustomerTable[[#This Row],[Ticket]],1,3,""))</f>
        <v>1142</v>
      </c>
      <c r="C880" s="2" t="s">
        <v>1023</v>
      </c>
      <c r="D880" s="2" t="s">
        <v>2890</v>
      </c>
      <c r="E880" s="2" t="s">
        <v>405</v>
      </c>
      <c r="F880" s="2" t="s">
        <v>398</v>
      </c>
      <c r="G880" s="2" t="str">
        <f>IF(CustomerTable[[#This Row],[Status]]="RESOLVED","Done",IF(CustomerTable[[#This Row],[Status]]="CLOSED","DONE",IF(CustomerTable[[#This Row],[Status]]="DEFERRED","Done","Pending")))</f>
        <v>Done</v>
      </c>
      <c r="H880" s="2" t="s">
        <v>1034</v>
      </c>
      <c r="I880" s="2" t="s">
        <v>392</v>
      </c>
      <c r="J880" s="2" t="s">
        <v>1909</v>
      </c>
      <c r="K880" s="16">
        <v>46176</v>
      </c>
      <c r="M880" s="16">
        <v>46204</v>
      </c>
    </row>
    <row r="881" spans="1:13" x14ac:dyDescent="0.4">
      <c r="A881" s="2" t="s">
        <v>926</v>
      </c>
      <c r="B881" s="2">
        <f>VALUE(REPLACE(CustomerTable[[#This Row],[Ticket]],1,3,""))</f>
        <v>1143</v>
      </c>
      <c r="C881" s="2" t="s">
        <v>1023</v>
      </c>
      <c r="D881" s="2" t="s">
        <v>2891</v>
      </c>
      <c r="E881" s="2" t="s">
        <v>405</v>
      </c>
      <c r="F881" s="2" t="s">
        <v>398</v>
      </c>
      <c r="G881" s="2" t="str">
        <f>IF(CustomerTable[[#This Row],[Status]]="RESOLVED","Done",IF(CustomerTable[[#This Row],[Status]]="CLOSED","DONE",IF(CustomerTable[[#This Row],[Status]]="DEFERRED","Done","Pending")))</f>
        <v>Done</v>
      </c>
      <c r="H881" s="2" t="s">
        <v>1028</v>
      </c>
      <c r="I881" s="2" t="s">
        <v>389</v>
      </c>
      <c r="J881" s="2" t="s">
        <v>1910</v>
      </c>
      <c r="K881" s="16">
        <v>46176</v>
      </c>
      <c r="M881" s="16">
        <v>46182</v>
      </c>
    </row>
    <row r="882" spans="1:13" x14ac:dyDescent="0.4">
      <c r="A882" s="2" t="s">
        <v>927</v>
      </c>
      <c r="B882" s="2">
        <f>VALUE(REPLACE(CustomerTable[[#This Row],[Ticket]],1,3,""))</f>
        <v>1144</v>
      </c>
      <c r="C882" s="2" t="s">
        <v>1023</v>
      </c>
      <c r="D882" s="2" t="s">
        <v>2892</v>
      </c>
      <c r="E882" s="2" t="s">
        <v>405</v>
      </c>
      <c r="F882" s="2" t="s">
        <v>398</v>
      </c>
      <c r="G882" s="2" t="str">
        <f>IF(CustomerTable[[#This Row],[Status]]="RESOLVED","Done",IF(CustomerTable[[#This Row],[Status]]="CLOSED","DONE",IF(CustomerTable[[#This Row],[Status]]="DEFERRED","Done","Pending")))</f>
        <v>Done</v>
      </c>
      <c r="H882" s="2" t="s">
        <v>1032</v>
      </c>
      <c r="I882" s="2" t="s">
        <v>392</v>
      </c>
      <c r="J882" s="2" t="s">
        <v>1911</v>
      </c>
      <c r="K882" s="16">
        <v>46176</v>
      </c>
      <c r="M882" s="16">
        <v>46202</v>
      </c>
    </row>
    <row r="883" spans="1:13" x14ac:dyDescent="0.4">
      <c r="A883" s="2" t="s">
        <v>928</v>
      </c>
      <c r="B883" s="2">
        <f>VALUE(REPLACE(CustomerTable[[#This Row],[Ticket]],1,3,""))</f>
        <v>1145</v>
      </c>
      <c r="C883" s="2" t="s">
        <v>1023</v>
      </c>
      <c r="D883" s="2" t="s">
        <v>2893</v>
      </c>
      <c r="E883" s="2" t="s">
        <v>405</v>
      </c>
      <c r="F883" s="2" t="s">
        <v>413</v>
      </c>
      <c r="G883" s="2" t="str">
        <f>IF(CustomerTable[[#This Row],[Status]]="RESOLVED","Done",IF(CustomerTable[[#This Row],[Status]]="CLOSED","DONE",IF(CustomerTable[[#This Row],[Status]]="DEFERRED","Done","Pending")))</f>
        <v>DONE</v>
      </c>
      <c r="H883" s="2" t="s">
        <v>11</v>
      </c>
      <c r="I883" s="2" t="s">
        <v>394</v>
      </c>
      <c r="J883" s="2" t="s">
        <v>1912</v>
      </c>
      <c r="K883" s="16">
        <v>46176</v>
      </c>
      <c r="M883" s="16"/>
    </row>
    <row r="884" spans="1:13" x14ac:dyDescent="0.4">
      <c r="A884" s="2" t="s">
        <v>929</v>
      </c>
      <c r="B884" s="2">
        <f>VALUE(REPLACE(CustomerTable[[#This Row],[Ticket]],1,3,""))</f>
        <v>1146</v>
      </c>
      <c r="C884" s="2" t="s">
        <v>1023</v>
      </c>
      <c r="D884" s="2" t="s">
        <v>2894</v>
      </c>
      <c r="E884" s="2" t="s">
        <v>399</v>
      </c>
      <c r="F884" s="2" t="s">
        <v>398</v>
      </c>
      <c r="G884" s="2" t="str">
        <f>IF(CustomerTable[[#This Row],[Status]]="RESOLVED","Done",IF(CustomerTable[[#This Row],[Status]]="CLOSED","DONE",IF(CustomerTable[[#This Row],[Status]]="DEFERRED","Done","Pending")))</f>
        <v>Done</v>
      </c>
      <c r="H884" s="2" t="s">
        <v>1032</v>
      </c>
      <c r="I884" s="2" t="s">
        <v>390</v>
      </c>
      <c r="J884" s="2" t="s">
        <v>1913</v>
      </c>
      <c r="K884" s="16">
        <v>46176</v>
      </c>
      <c r="M884" s="16">
        <v>46188</v>
      </c>
    </row>
    <row r="885" spans="1:13" x14ac:dyDescent="0.4">
      <c r="A885" s="2" t="s">
        <v>930</v>
      </c>
      <c r="B885" s="2">
        <f>VALUE(REPLACE(CustomerTable[[#This Row],[Ticket]],1,3,""))</f>
        <v>1147</v>
      </c>
      <c r="C885" s="2" t="s">
        <v>1023</v>
      </c>
      <c r="D885" s="2" t="s">
        <v>2895</v>
      </c>
      <c r="E885" s="2" t="s">
        <v>405</v>
      </c>
      <c r="F885" s="2" t="s">
        <v>398</v>
      </c>
      <c r="G885" s="2" t="str">
        <f>IF(CustomerTable[[#This Row],[Status]]="RESOLVED","Done",IF(CustomerTable[[#This Row],[Status]]="CLOSED","DONE",IF(CustomerTable[[#This Row],[Status]]="DEFERRED","Done","Pending")))</f>
        <v>Done</v>
      </c>
      <c r="H885" s="2" t="s">
        <v>1028</v>
      </c>
      <c r="I885" s="2" t="s">
        <v>392</v>
      </c>
      <c r="J885" s="2" t="s">
        <v>1914</v>
      </c>
      <c r="K885" s="16">
        <v>46177</v>
      </c>
      <c r="M885" s="16">
        <v>46188</v>
      </c>
    </row>
    <row r="886" spans="1:13" x14ac:dyDescent="0.4">
      <c r="A886" s="2" t="s">
        <v>931</v>
      </c>
      <c r="B886" s="2">
        <f>VALUE(REPLACE(CustomerTable[[#This Row],[Ticket]],1,3,""))</f>
        <v>1148</v>
      </c>
      <c r="C886" s="2" t="s">
        <v>1023</v>
      </c>
      <c r="D886" s="2" t="s">
        <v>2896</v>
      </c>
      <c r="E886" s="2" t="s">
        <v>400</v>
      </c>
      <c r="F886" s="2" t="s">
        <v>398</v>
      </c>
      <c r="G886" s="2" t="str">
        <f>IF(CustomerTable[[#This Row],[Status]]="RESOLVED","Done",IF(CustomerTable[[#This Row],[Status]]="CLOSED","DONE",IF(CustomerTable[[#This Row],[Status]]="DEFERRED","Done","Pending")))</f>
        <v>Done</v>
      </c>
      <c r="H886" s="2" t="s">
        <v>1028</v>
      </c>
      <c r="I886" s="2" t="s">
        <v>392</v>
      </c>
      <c r="J886" s="2" t="s">
        <v>1915</v>
      </c>
      <c r="K886" s="16">
        <v>46177</v>
      </c>
      <c r="M886" s="16">
        <v>46184</v>
      </c>
    </row>
    <row r="887" spans="1:13" x14ac:dyDescent="0.4">
      <c r="A887" s="2" t="s">
        <v>932</v>
      </c>
      <c r="B887" s="2">
        <f>VALUE(REPLACE(CustomerTable[[#This Row],[Ticket]],1,3,""))</f>
        <v>1149</v>
      </c>
      <c r="C887" s="2" t="s">
        <v>1023</v>
      </c>
      <c r="D887" s="2" t="s">
        <v>2897</v>
      </c>
      <c r="E887" s="2" t="s">
        <v>405</v>
      </c>
      <c r="F887" s="2" t="s">
        <v>398</v>
      </c>
      <c r="G887" s="2" t="str">
        <f>IF(CustomerTable[[#This Row],[Status]]="RESOLVED","Done",IF(CustomerTable[[#This Row],[Status]]="CLOSED","DONE",IF(CustomerTable[[#This Row],[Status]]="DEFERRED","Done","Pending")))</f>
        <v>Done</v>
      </c>
      <c r="H887" s="2" t="s">
        <v>1028</v>
      </c>
      <c r="I887" s="2" t="s">
        <v>389</v>
      </c>
      <c r="J887" s="2" t="s">
        <v>1916</v>
      </c>
      <c r="K887" s="16">
        <v>46177</v>
      </c>
      <c r="M887" s="16">
        <v>46189</v>
      </c>
    </row>
    <row r="888" spans="1:13" x14ac:dyDescent="0.4">
      <c r="A888" s="2" t="s">
        <v>933</v>
      </c>
      <c r="B888" s="2">
        <f>VALUE(REPLACE(CustomerTable[[#This Row],[Ticket]],1,3,""))</f>
        <v>1150</v>
      </c>
      <c r="C888" s="2" t="s">
        <v>1023</v>
      </c>
      <c r="D888" s="2" t="s">
        <v>2898</v>
      </c>
      <c r="E888" s="2" t="s">
        <v>405</v>
      </c>
      <c r="F888" s="2" t="s">
        <v>398</v>
      </c>
      <c r="G888" s="2" t="str">
        <f>IF(CustomerTable[[#This Row],[Status]]="RESOLVED","Done",IF(CustomerTable[[#This Row],[Status]]="CLOSED","DONE",IF(CustomerTable[[#This Row],[Status]]="DEFERRED","Done","Pending")))</f>
        <v>Done</v>
      </c>
      <c r="H888" s="2" t="s">
        <v>1028</v>
      </c>
      <c r="I888" s="2" t="s">
        <v>392</v>
      </c>
      <c r="J888" s="2" t="s">
        <v>1917</v>
      </c>
      <c r="K888" s="16">
        <v>46178</v>
      </c>
      <c r="M888" s="16">
        <v>46195</v>
      </c>
    </row>
    <row r="889" spans="1:13" x14ac:dyDescent="0.4">
      <c r="A889" s="2" t="s">
        <v>934</v>
      </c>
      <c r="B889" s="2">
        <f>VALUE(REPLACE(CustomerTable[[#This Row],[Ticket]],1,3,""))</f>
        <v>1151</v>
      </c>
      <c r="C889" s="2" t="s">
        <v>1023</v>
      </c>
      <c r="D889" s="2" t="s">
        <v>2899</v>
      </c>
      <c r="E889" s="2" t="s">
        <v>405</v>
      </c>
      <c r="F889" s="2" t="s">
        <v>398</v>
      </c>
      <c r="G889" s="2" t="str">
        <f>IF(CustomerTable[[#This Row],[Status]]="RESOLVED","Done",IF(CustomerTable[[#This Row],[Status]]="CLOSED","DONE",IF(CustomerTable[[#This Row],[Status]]="DEFERRED","Done","Pending")))</f>
        <v>Done</v>
      </c>
      <c r="H889" s="2" t="s">
        <v>1028</v>
      </c>
      <c r="I889" s="2" t="s">
        <v>392</v>
      </c>
      <c r="J889" s="2" t="s">
        <v>1918</v>
      </c>
      <c r="K889" s="16">
        <v>46178</v>
      </c>
      <c r="M889" s="16">
        <v>46188</v>
      </c>
    </row>
    <row r="890" spans="1:13" x14ac:dyDescent="0.4">
      <c r="A890" s="2" t="s">
        <v>935</v>
      </c>
      <c r="B890" s="2">
        <f>VALUE(REPLACE(CustomerTable[[#This Row],[Ticket]],1,3,""))</f>
        <v>1152</v>
      </c>
      <c r="C890" s="2" t="s">
        <v>1023</v>
      </c>
      <c r="D890" s="2" t="s">
        <v>2900</v>
      </c>
      <c r="E890" s="2" t="s">
        <v>405</v>
      </c>
      <c r="F890" s="2" t="s">
        <v>398</v>
      </c>
      <c r="G890" s="2" t="str">
        <f>IF(CustomerTable[[#This Row],[Status]]="RESOLVED","Done",IF(CustomerTable[[#This Row],[Status]]="CLOSED","DONE",IF(CustomerTable[[#This Row],[Status]]="DEFERRED","Done","Pending")))</f>
        <v>Done</v>
      </c>
      <c r="H890" s="2" t="s">
        <v>1034</v>
      </c>
      <c r="I890" s="2" t="s">
        <v>392</v>
      </c>
      <c r="J890" s="2" t="s">
        <v>1919</v>
      </c>
      <c r="K890" s="16">
        <v>46178</v>
      </c>
      <c r="M890" s="16">
        <v>46204</v>
      </c>
    </row>
    <row r="891" spans="1:13" x14ac:dyDescent="0.4">
      <c r="A891" s="2" t="s">
        <v>936</v>
      </c>
      <c r="B891" s="2">
        <f>VALUE(REPLACE(CustomerTable[[#This Row],[Ticket]],1,3,""))</f>
        <v>1153</v>
      </c>
      <c r="C891" s="2" t="s">
        <v>1023</v>
      </c>
      <c r="D891" s="2" t="s">
        <v>2901</v>
      </c>
      <c r="E891" s="2" t="s">
        <v>405</v>
      </c>
      <c r="F891" s="2" t="s">
        <v>398</v>
      </c>
      <c r="G891" s="2" t="str">
        <f>IF(CustomerTable[[#This Row],[Status]]="RESOLVED","Done",IF(CustomerTable[[#This Row],[Status]]="CLOSED","DONE",IF(CustomerTable[[#This Row],[Status]]="DEFERRED","Done","Pending")))</f>
        <v>Done</v>
      </c>
      <c r="H891" s="2" t="s">
        <v>1028</v>
      </c>
      <c r="I891" s="2" t="s">
        <v>392</v>
      </c>
      <c r="J891" s="2" t="s">
        <v>1920</v>
      </c>
      <c r="K891" s="16">
        <v>46178</v>
      </c>
      <c r="M891" s="16">
        <v>46184</v>
      </c>
    </row>
    <row r="892" spans="1:13" x14ac:dyDescent="0.4">
      <c r="A892" s="2" t="s">
        <v>937</v>
      </c>
      <c r="B892" s="2">
        <f>VALUE(REPLACE(CustomerTable[[#This Row],[Ticket]],1,3,""))</f>
        <v>1154</v>
      </c>
      <c r="C892" s="2" t="s">
        <v>1023</v>
      </c>
      <c r="D892" s="2" t="s">
        <v>2902</v>
      </c>
      <c r="E892" s="2" t="s">
        <v>405</v>
      </c>
      <c r="F892" s="2" t="s">
        <v>398</v>
      </c>
      <c r="G892" s="2" t="str">
        <f>IF(CustomerTable[[#This Row],[Status]]="RESOLVED","Done",IF(CustomerTable[[#This Row],[Status]]="CLOSED","DONE",IF(CustomerTable[[#This Row],[Status]]="DEFERRED","Done","Pending")))</f>
        <v>Done</v>
      </c>
      <c r="H892" s="2" t="s">
        <v>1028</v>
      </c>
      <c r="I892" s="2" t="s">
        <v>392</v>
      </c>
      <c r="J892" s="2" t="s">
        <v>1921</v>
      </c>
      <c r="K892" s="16">
        <v>46181</v>
      </c>
      <c r="M892" s="16">
        <v>46184</v>
      </c>
    </row>
    <row r="893" spans="1:13" x14ac:dyDescent="0.4">
      <c r="A893" s="2" t="s">
        <v>938</v>
      </c>
      <c r="B893" s="2">
        <f>VALUE(REPLACE(CustomerTable[[#This Row],[Ticket]],1,3,""))</f>
        <v>1155</v>
      </c>
      <c r="C893" s="2" t="s">
        <v>1023</v>
      </c>
      <c r="D893" s="2" t="s">
        <v>2903</v>
      </c>
      <c r="E893" s="2" t="s">
        <v>405</v>
      </c>
      <c r="F893" s="2" t="s">
        <v>398</v>
      </c>
      <c r="G893" s="2" t="str">
        <f>IF(CustomerTable[[#This Row],[Status]]="RESOLVED","Done",IF(CustomerTable[[#This Row],[Status]]="CLOSED","DONE",IF(CustomerTable[[#This Row],[Status]]="DEFERRED","Done","Pending")))</f>
        <v>Done</v>
      </c>
      <c r="H893" s="2" t="s">
        <v>1028</v>
      </c>
      <c r="I893" s="2" t="s">
        <v>392</v>
      </c>
      <c r="J893" s="2" t="s">
        <v>1922</v>
      </c>
      <c r="K893" s="16">
        <v>46181</v>
      </c>
      <c r="M893" s="16">
        <v>46184</v>
      </c>
    </row>
    <row r="894" spans="1:13" x14ac:dyDescent="0.4">
      <c r="A894" s="2" t="s">
        <v>939</v>
      </c>
      <c r="B894" s="2">
        <f>VALUE(REPLACE(CustomerTable[[#This Row],[Ticket]],1,3,""))</f>
        <v>1156</v>
      </c>
      <c r="C894" s="2" t="s">
        <v>1023</v>
      </c>
      <c r="D894" s="2" t="s">
        <v>2904</v>
      </c>
      <c r="E894" s="2" t="s">
        <v>405</v>
      </c>
      <c r="F894" s="2" t="s">
        <v>398</v>
      </c>
      <c r="G894" s="2" t="str">
        <f>IF(CustomerTable[[#This Row],[Status]]="RESOLVED","Done",IF(CustomerTable[[#This Row],[Status]]="CLOSED","DONE",IF(CustomerTable[[#This Row],[Status]]="DEFERRED","Done","Pending")))</f>
        <v>Done</v>
      </c>
      <c r="H894" s="2" t="s">
        <v>11</v>
      </c>
      <c r="I894" s="2" t="s">
        <v>391</v>
      </c>
      <c r="J894" s="2" t="s">
        <v>1923</v>
      </c>
      <c r="K894" s="16">
        <v>46182</v>
      </c>
      <c r="M894" s="16">
        <v>46188</v>
      </c>
    </row>
    <row r="895" spans="1:13" x14ac:dyDescent="0.4">
      <c r="A895" s="2" t="s">
        <v>941</v>
      </c>
      <c r="B895" s="2">
        <f>VALUE(REPLACE(CustomerTable[[#This Row],[Ticket]],1,3,""))</f>
        <v>1157</v>
      </c>
      <c r="C895" s="2" t="s">
        <v>1023</v>
      </c>
      <c r="D895" s="2" t="s">
        <v>2905</v>
      </c>
      <c r="E895" s="2" t="s">
        <v>405</v>
      </c>
      <c r="F895" s="2" t="s">
        <v>398</v>
      </c>
      <c r="G895" s="2" t="str">
        <f>IF(CustomerTable[[#This Row],[Status]]="RESOLVED","Done",IF(CustomerTable[[#This Row],[Status]]="CLOSED","DONE",IF(CustomerTable[[#This Row],[Status]]="DEFERRED","Done","Pending")))</f>
        <v>Done</v>
      </c>
      <c r="H895" s="2" t="s">
        <v>1034</v>
      </c>
      <c r="I895" s="3" t="s">
        <v>392</v>
      </c>
      <c r="J895" s="2" t="s">
        <v>1924</v>
      </c>
      <c r="K895" s="16">
        <v>46182</v>
      </c>
      <c r="M895" s="16">
        <v>46157</v>
      </c>
    </row>
    <row r="896" spans="1:13" x14ac:dyDescent="0.4">
      <c r="A896" s="2" t="s">
        <v>942</v>
      </c>
      <c r="B896" s="2">
        <f>VALUE(REPLACE(CustomerTable[[#This Row],[Ticket]],1,3,""))</f>
        <v>1158</v>
      </c>
      <c r="C896" s="2" t="s">
        <v>1023</v>
      </c>
      <c r="D896" s="2" t="s">
        <v>2906</v>
      </c>
      <c r="E896" s="2" t="s">
        <v>399</v>
      </c>
      <c r="F896" s="2" t="s">
        <v>398</v>
      </c>
      <c r="G896" s="2" t="str">
        <f>IF(CustomerTable[[#This Row],[Status]]="RESOLVED","Done",IF(CustomerTable[[#This Row],[Status]]="CLOSED","DONE",IF(CustomerTable[[#This Row],[Status]]="DEFERRED","Done","Pending")))</f>
        <v>Done</v>
      </c>
      <c r="H896" s="2" t="s">
        <v>1028</v>
      </c>
      <c r="I896" s="2" t="s">
        <v>389</v>
      </c>
      <c r="J896" s="2" t="s">
        <v>1925</v>
      </c>
      <c r="K896" s="16">
        <v>46182</v>
      </c>
      <c r="M896" s="16">
        <v>46189</v>
      </c>
    </row>
    <row r="897" spans="1:13" x14ac:dyDescent="0.4">
      <c r="A897" s="2" t="s">
        <v>943</v>
      </c>
      <c r="B897" s="2">
        <f>VALUE(REPLACE(CustomerTable[[#This Row],[Ticket]],1,3,""))</f>
        <v>1159</v>
      </c>
      <c r="C897" s="2" t="s">
        <v>1023</v>
      </c>
      <c r="D897" s="2" t="s">
        <v>2907</v>
      </c>
      <c r="E897" s="2" t="s">
        <v>405</v>
      </c>
      <c r="F897" s="2" t="s">
        <v>398</v>
      </c>
      <c r="G897" s="2" t="str">
        <f>IF(CustomerTable[[#This Row],[Status]]="RESOLVED","Done",IF(CustomerTable[[#This Row],[Status]]="CLOSED","DONE",IF(CustomerTable[[#This Row],[Status]]="DEFERRED","Done","Pending")))</f>
        <v>Done</v>
      </c>
      <c r="H897" s="2" t="s">
        <v>1028</v>
      </c>
      <c r="I897" s="2" t="s">
        <v>395</v>
      </c>
      <c r="J897" s="2" t="s">
        <v>1926</v>
      </c>
      <c r="K897" s="16">
        <v>46182</v>
      </c>
      <c r="M897" s="16">
        <v>46184</v>
      </c>
    </row>
    <row r="898" spans="1:13" x14ac:dyDescent="0.4">
      <c r="A898" s="2" t="s">
        <v>944</v>
      </c>
      <c r="B898" s="2">
        <f>VALUE(REPLACE(CustomerTable[[#This Row],[Ticket]],1,3,""))</f>
        <v>1160</v>
      </c>
      <c r="C898" s="2" t="s">
        <v>1023</v>
      </c>
      <c r="D898" s="2" t="s">
        <v>2908</v>
      </c>
      <c r="E898" s="2" t="s">
        <v>399</v>
      </c>
      <c r="F898" s="2" t="s">
        <v>398</v>
      </c>
      <c r="G898" s="2" t="str">
        <f>IF(CustomerTable[[#This Row],[Status]]="RESOLVED","Done",IF(CustomerTable[[#This Row],[Status]]="CLOSED","DONE",IF(CustomerTable[[#This Row],[Status]]="DEFERRED","Done","Pending")))</f>
        <v>Done</v>
      </c>
      <c r="H898" s="2" t="s">
        <v>11</v>
      </c>
      <c r="I898" s="2" t="s">
        <v>395</v>
      </c>
      <c r="J898" s="2" t="s">
        <v>1927</v>
      </c>
      <c r="K898" s="16">
        <v>46182</v>
      </c>
      <c r="M898" s="16">
        <v>46188</v>
      </c>
    </row>
    <row r="899" spans="1:13" x14ac:dyDescent="0.4">
      <c r="A899" s="2" t="s">
        <v>945</v>
      </c>
      <c r="B899" s="2">
        <f>VALUE(REPLACE(CustomerTable[[#This Row],[Ticket]],1,3,""))</f>
        <v>1161</v>
      </c>
      <c r="C899" s="2" t="s">
        <v>1023</v>
      </c>
      <c r="D899" s="2" t="s">
        <v>2909</v>
      </c>
      <c r="E899" s="2" t="s">
        <v>399</v>
      </c>
      <c r="F899" s="2" t="s">
        <v>398</v>
      </c>
      <c r="G899" s="2" t="str">
        <f>IF(CustomerTable[[#This Row],[Status]]="RESOLVED","Done",IF(CustomerTable[[#This Row],[Status]]="CLOSED","DONE",IF(CustomerTable[[#This Row],[Status]]="DEFERRED","Done","Pending")))</f>
        <v>Done</v>
      </c>
      <c r="H899" s="2" t="s">
        <v>1034</v>
      </c>
      <c r="I899" s="2" t="s">
        <v>388</v>
      </c>
      <c r="J899" s="2" t="s">
        <v>1928</v>
      </c>
      <c r="K899" s="16">
        <v>46182</v>
      </c>
      <c r="M899" s="16">
        <v>46183</v>
      </c>
    </row>
    <row r="900" spans="1:13" x14ac:dyDescent="0.4">
      <c r="A900" s="2" t="s">
        <v>946</v>
      </c>
      <c r="B900" s="2">
        <f>VALUE(REPLACE(CustomerTable[[#This Row],[Ticket]],1,3,""))</f>
        <v>1162</v>
      </c>
      <c r="C900" s="2" t="s">
        <v>1023</v>
      </c>
      <c r="D900" s="2" t="s">
        <v>2910</v>
      </c>
      <c r="E900" s="2" t="s">
        <v>399</v>
      </c>
      <c r="F900" s="2" t="s">
        <v>398</v>
      </c>
      <c r="G900" s="2" t="str">
        <f>IF(CustomerTable[[#This Row],[Status]]="RESOLVED","Done",IF(CustomerTable[[#This Row],[Status]]="CLOSED","DONE",IF(CustomerTable[[#This Row],[Status]]="DEFERRED","Done","Pending")))</f>
        <v>Done</v>
      </c>
      <c r="H900" s="2" t="s">
        <v>11</v>
      </c>
      <c r="I900" s="2" t="s">
        <v>390</v>
      </c>
      <c r="J900" s="2" t="s">
        <v>1929</v>
      </c>
      <c r="K900" s="16">
        <v>46182</v>
      </c>
      <c r="M900" s="16">
        <v>46189</v>
      </c>
    </row>
    <row r="901" spans="1:13" x14ac:dyDescent="0.4">
      <c r="A901" s="2" t="s">
        <v>947</v>
      </c>
      <c r="B901" s="2">
        <f>VALUE(REPLACE(CustomerTable[[#This Row],[Ticket]],1,3,""))</f>
        <v>1163</v>
      </c>
      <c r="C901" s="2" t="s">
        <v>1023</v>
      </c>
      <c r="D901" s="2" t="s">
        <v>2911</v>
      </c>
      <c r="E901" s="2" t="s">
        <v>405</v>
      </c>
      <c r="F901" s="2" t="s">
        <v>398</v>
      </c>
      <c r="G901" s="2" t="str">
        <f>IF(CustomerTable[[#This Row],[Status]]="RESOLVED","Done",IF(CustomerTable[[#This Row],[Status]]="CLOSED","DONE",IF(CustomerTable[[#This Row],[Status]]="DEFERRED","Done","Pending")))</f>
        <v>Done</v>
      </c>
      <c r="H901" s="2" t="s">
        <v>1028</v>
      </c>
      <c r="I901" s="2" t="s">
        <v>392</v>
      </c>
      <c r="J901" s="2" t="s">
        <v>1930</v>
      </c>
      <c r="K901" s="16">
        <v>46182</v>
      </c>
      <c r="M901" s="16">
        <v>46195</v>
      </c>
    </row>
    <row r="902" spans="1:13" x14ac:dyDescent="0.4">
      <c r="A902" s="2" t="s">
        <v>948</v>
      </c>
      <c r="B902" s="2">
        <f>VALUE(REPLACE(CustomerTable[[#This Row],[Ticket]],1,3,""))</f>
        <v>1164</v>
      </c>
      <c r="C902" s="2" t="s">
        <v>1023</v>
      </c>
      <c r="D902" s="2" t="s">
        <v>2912</v>
      </c>
      <c r="E902" s="2" t="s">
        <v>405</v>
      </c>
      <c r="F902" s="2" t="s">
        <v>398</v>
      </c>
      <c r="G902" s="2" t="str">
        <f>IF(CustomerTable[[#This Row],[Status]]="RESOLVED","Done",IF(CustomerTable[[#This Row],[Status]]="CLOSED","DONE",IF(CustomerTable[[#This Row],[Status]]="DEFERRED","Done","Pending")))</f>
        <v>Done</v>
      </c>
      <c r="H902" s="2" t="s">
        <v>11</v>
      </c>
      <c r="I902" s="2" t="s">
        <v>393</v>
      </c>
      <c r="J902" s="2" t="s">
        <v>1931</v>
      </c>
      <c r="K902" s="16">
        <v>46182</v>
      </c>
      <c r="M902" s="16">
        <v>46183</v>
      </c>
    </row>
    <row r="903" spans="1:13" x14ac:dyDescent="0.4">
      <c r="A903" s="2" t="s">
        <v>949</v>
      </c>
      <c r="B903" s="2">
        <f>VALUE(REPLACE(CustomerTable[[#This Row],[Ticket]],1,3,""))</f>
        <v>1165</v>
      </c>
      <c r="C903" s="2" t="s">
        <v>1023</v>
      </c>
      <c r="D903" s="2" t="s">
        <v>2913</v>
      </c>
      <c r="E903" s="2" t="s">
        <v>405</v>
      </c>
      <c r="F903" s="2" t="s">
        <v>398</v>
      </c>
      <c r="G903" s="2" t="str">
        <f>IF(CustomerTable[[#This Row],[Status]]="RESOLVED","Done",IF(CustomerTable[[#This Row],[Status]]="CLOSED","DONE",IF(CustomerTable[[#This Row],[Status]]="DEFERRED","Done","Pending")))</f>
        <v>Done</v>
      </c>
      <c r="H903" s="2" t="s">
        <v>1028</v>
      </c>
      <c r="I903" s="2" t="s">
        <v>391</v>
      </c>
      <c r="J903" s="2" t="s">
        <v>1932</v>
      </c>
      <c r="K903" s="16">
        <v>46182</v>
      </c>
      <c r="M903" s="16">
        <v>46188</v>
      </c>
    </row>
    <row r="904" spans="1:13" x14ac:dyDescent="0.4">
      <c r="A904" s="2" t="s">
        <v>950</v>
      </c>
      <c r="B904" s="2">
        <f>VALUE(REPLACE(CustomerTable[[#This Row],[Ticket]],1,3,""))</f>
        <v>1166</v>
      </c>
      <c r="C904" s="2" t="s">
        <v>1023</v>
      </c>
      <c r="D904" s="2" t="s">
        <v>2914</v>
      </c>
      <c r="E904" s="2" t="s">
        <v>405</v>
      </c>
      <c r="F904" s="2" t="s">
        <v>398</v>
      </c>
      <c r="G904" s="2" t="str">
        <f>IF(CustomerTable[[#This Row],[Status]]="RESOLVED","Done",IF(CustomerTable[[#This Row],[Status]]="CLOSED","DONE",IF(CustomerTable[[#This Row],[Status]]="DEFERRED","Done","Pending")))</f>
        <v>Done</v>
      </c>
      <c r="H904" s="2" t="s">
        <v>1028</v>
      </c>
      <c r="I904" s="2" t="s">
        <v>392</v>
      </c>
      <c r="J904" s="2" t="s">
        <v>1933</v>
      </c>
      <c r="K904" s="16">
        <v>46182</v>
      </c>
      <c r="M904" s="16">
        <v>46188</v>
      </c>
    </row>
    <row r="905" spans="1:13" x14ac:dyDescent="0.4">
      <c r="A905" s="2" t="s">
        <v>951</v>
      </c>
      <c r="B905" s="2">
        <f>VALUE(REPLACE(CustomerTable[[#This Row],[Ticket]],1,3,""))</f>
        <v>1167</v>
      </c>
      <c r="C905" s="2" t="s">
        <v>1024</v>
      </c>
      <c r="D905" s="2" t="s">
        <v>2915</v>
      </c>
      <c r="E905" s="2" t="s">
        <v>405</v>
      </c>
      <c r="F905" s="2" t="s">
        <v>398</v>
      </c>
      <c r="G905" s="2" t="str">
        <f>IF(CustomerTable[[#This Row],[Status]]="RESOLVED","Done",IF(CustomerTable[[#This Row],[Status]]="CLOSED","DONE",IF(CustomerTable[[#This Row],[Status]]="DEFERRED","Done","Pending")))</f>
        <v>Done</v>
      </c>
      <c r="H905" s="2" t="s">
        <v>1034</v>
      </c>
      <c r="I905" s="2" t="s">
        <v>391</v>
      </c>
      <c r="J905" s="2" t="s">
        <v>1934</v>
      </c>
      <c r="K905" s="16">
        <v>46182</v>
      </c>
      <c r="M905" s="16">
        <v>46197</v>
      </c>
    </row>
    <row r="906" spans="1:13" x14ac:dyDescent="0.4">
      <c r="A906" s="2" t="s">
        <v>952</v>
      </c>
      <c r="B906" s="2">
        <f>VALUE(REPLACE(CustomerTable[[#This Row],[Ticket]],1,3,""))</f>
        <v>1168</v>
      </c>
      <c r="C906" s="2" t="s">
        <v>1024</v>
      </c>
      <c r="D906" s="2" t="s">
        <v>2916</v>
      </c>
      <c r="E906" s="2" t="s">
        <v>405</v>
      </c>
      <c r="F906" s="2" t="s">
        <v>398</v>
      </c>
      <c r="G906" s="2" t="str">
        <f>IF(CustomerTable[[#This Row],[Status]]="RESOLVED","Done",IF(CustomerTable[[#This Row],[Status]]="CLOSED","DONE",IF(CustomerTable[[#This Row],[Status]]="DEFERRED","Done","Pending")))</f>
        <v>Done</v>
      </c>
      <c r="H906" s="2" t="s">
        <v>1034</v>
      </c>
      <c r="I906" s="2" t="s">
        <v>393</v>
      </c>
      <c r="J906" s="2" t="s">
        <v>1935</v>
      </c>
      <c r="K906" s="16">
        <v>46182</v>
      </c>
      <c r="M906" s="16">
        <v>46189</v>
      </c>
    </row>
    <row r="907" spans="1:13" x14ac:dyDescent="0.4">
      <c r="A907" s="2" t="s">
        <v>953</v>
      </c>
      <c r="B907" s="2">
        <f>VALUE(REPLACE(CustomerTable[[#This Row],[Ticket]],1,3,""))</f>
        <v>1169</v>
      </c>
      <c r="C907" s="2" t="s">
        <v>1023</v>
      </c>
      <c r="D907" s="2" t="s">
        <v>2917</v>
      </c>
      <c r="E907" s="2" t="s">
        <v>405</v>
      </c>
      <c r="F907" s="2" t="s">
        <v>398</v>
      </c>
      <c r="G907" s="2" t="str">
        <f>IF(CustomerTable[[#This Row],[Status]]="RESOLVED","Done",IF(CustomerTable[[#This Row],[Status]]="CLOSED","DONE",IF(CustomerTable[[#This Row],[Status]]="DEFERRED","Done","Pending")))</f>
        <v>Done</v>
      </c>
      <c r="H907" s="2" t="s">
        <v>1028</v>
      </c>
      <c r="I907" s="2" t="s">
        <v>392</v>
      </c>
      <c r="J907" s="2" t="s">
        <v>1936</v>
      </c>
      <c r="K907" s="16">
        <v>46182</v>
      </c>
      <c r="M907" s="16">
        <v>46189</v>
      </c>
    </row>
    <row r="908" spans="1:13" x14ac:dyDescent="0.4">
      <c r="A908" s="2" t="s">
        <v>954</v>
      </c>
      <c r="B908" s="2">
        <f>VALUE(REPLACE(CustomerTable[[#This Row],[Ticket]],1,3,""))</f>
        <v>1170</v>
      </c>
      <c r="C908" s="2" t="s">
        <v>1023</v>
      </c>
      <c r="D908" s="2" t="s">
        <v>2918</v>
      </c>
      <c r="E908" s="2" t="s">
        <v>399</v>
      </c>
      <c r="F908" s="2" t="s">
        <v>398</v>
      </c>
      <c r="G908" s="2" t="str">
        <f>IF(CustomerTable[[#This Row],[Status]]="RESOLVED","Done",IF(CustomerTable[[#This Row],[Status]]="CLOSED","DONE",IF(CustomerTable[[#This Row],[Status]]="DEFERRED","Done","Pending")))</f>
        <v>Done</v>
      </c>
      <c r="H908" s="2" t="s">
        <v>11</v>
      </c>
      <c r="I908" s="2" t="s">
        <v>390</v>
      </c>
      <c r="J908" s="2" t="s">
        <v>1937</v>
      </c>
      <c r="K908" s="16">
        <v>46183</v>
      </c>
      <c r="M908" s="16">
        <v>46188</v>
      </c>
    </row>
    <row r="909" spans="1:13" x14ac:dyDescent="0.4">
      <c r="A909" s="2" t="s">
        <v>955</v>
      </c>
      <c r="B909" s="2">
        <f>VALUE(REPLACE(CustomerTable[[#This Row],[Ticket]],1,3,""))</f>
        <v>1171</v>
      </c>
      <c r="C909" s="2" t="s">
        <v>1023</v>
      </c>
      <c r="D909" s="2" t="s">
        <v>2919</v>
      </c>
      <c r="E909" s="2" t="s">
        <v>400</v>
      </c>
      <c r="F909" s="2" t="s">
        <v>398</v>
      </c>
      <c r="G909" s="2" t="str">
        <f>IF(CustomerTable[[#This Row],[Status]]="RESOLVED","Done",IF(CustomerTable[[#This Row],[Status]]="CLOSED","DONE",IF(CustomerTable[[#This Row],[Status]]="DEFERRED","Done","Pending")))</f>
        <v>Done</v>
      </c>
      <c r="H909" s="2" t="s">
        <v>1028</v>
      </c>
      <c r="I909" s="2" t="s">
        <v>392</v>
      </c>
      <c r="J909" s="2" t="s">
        <v>1938</v>
      </c>
      <c r="K909" s="16">
        <v>46183</v>
      </c>
      <c r="M909" s="16">
        <v>46188</v>
      </c>
    </row>
    <row r="910" spans="1:13" x14ac:dyDescent="0.4">
      <c r="A910" s="2" t="s">
        <v>956</v>
      </c>
      <c r="B910" s="2">
        <f>VALUE(REPLACE(CustomerTable[[#This Row],[Ticket]],1,3,""))</f>
        <v>1172</v>
      </c>
      <c r="C910" s="2" t="s">
        <v>1023</v>
      </c>
      <c r="D910" s="2" t="s">
        <v>2920</v>
      </c>
      <c r="E910" s="2" t="s">
        <v>405</v>
      </c>
      <c r="F910" s="2" t="s">
        <v>398</v>
      </c>
      <c r="G910" s="2" t="str">
        <f>IF(CustomerTable[[#This Row],[Status]]="RESOLVED","Done",IF(CustomerTable[[#This Row],[Status]]="CLOSED","DONE",IF(CustomerTable[[#This Row],[Status]]="DEFERRED","Done","Pending")))</f>
        <v>Done</v>
      </c>
      <c r="H910" s="2" t="s">
        <v>1028</v>
      </c>
      <c r="I910" s="2" t="s">
        <v>392</v>
      </c>
      <c r="J910" s="2" t="s">
        <v>1939</v>
      </c>
      <c r="K910" s="16">
        <v>46183</v>
      </c>
      <c r="M910" s="16">
        <v>46184</v>
      </c>
    </row>
    <row r="911" spans="1:13" x14ac:dyDescent="0.4">
      <c r="A911" s="2" t="s">
        <v>957</v>
      </c>
      <c r="B911" s="2">
        <f>VALUE(REPLACE(CustomerTable[[#This Row],[Ticket]],1,3,""))</f>
        <v>1173</v>
      </c>
      <c r="C911" s="2" t="s">
        <v>1023</v>
      </c>
      <c r="D911" s="2" t="s">
        <v>2921</v>
      </c>
      <c r="E911" s="2" t="s">
        <v>405</v>
      </c>
      <c r="F911" s="2" t="s">
        <v>398</v>
      </c>
      <c r="G911" s="2" t="str">
        <f>IF(CustomerTable[[#This Row],[Status]]="RESOLVED","Done",IF(CustomerTable[[#This Row],[Status]]="CLOSED","DONE",IF(CustomerTable[[#This Row],[Status]]="DEFERRED","Done","Pending")))</f>
        <v>Done</v>
      </c>
      <c r="H911" s="2" t="s">
        <v>1028</v>
      </c>
      <c r="I911" s="2" t="s">
        <v>392</v>
      </c>
      <c r="J911" s="2" t="s">
        <v>1940</v>
      </c>
      <c r="K911" s="16">
        <v>46183</v>
      </c>
      <c r="M911" s="16">
        <v>46189</v>
      </c>
    </row>
    <row r="912" spans="1:13" x14ac:dyDescent="0.4">
      <c r="A912" s="2" t="s">
        <v>958</v>
      </c>
      <c r="B912" s="2">
        <f>VALUE(REPLACE(CustomerTable[[#This Row],[Ticket]],1,3,""))</f>
        <v>1174</v>
      </c>
      <c r="C912" s="2" t="s">
        <v>1023</v>
      </c>
      <c r="D912" s="2" t="s">
        <v>2922</v>
      </c>
      <c r="E912" s="2" t="s">
        <v>405</v>
      </c>
      <c r="F912" s="2" t="s">
        <v>398</v>
      </c>
      <c r="G912" s="2" t="str">
        <f>IF(CustomerTable[[#This Row],[Status]]="RESOLVED","Done",IF(CustomerTable[[#This Row],[Status]]="CLOSED","DONE",IF(CustomerTable[[#This Row],[Status]]="DEFERRED","Done","Pending")))</f>
        <v>Done</v>
      </c>
      <c r="H912" s="2" t="s">
        <v>1028</v>
      </c>
      <c r="I912" s="2" t="s">
        <v>389</v>
      </c>
      <c r="J912" s="2" t="s">
        <v>1941</v>
      </c>
      <c r="K912" s="16">
        <v>46183</v>
      </c>
      <c r="M912" s="16">
        <v>46184</v>
      </c>
    </row>
    <row r="913" spans="1:13" x14ac:dyDescent="0.4">
      <c r="A913" s="2" t="s">
        <v>959</v>
      </c>
      <c r="B913" s="2">
        <f>VALUE(REPLACE(CustomerTable[[#This Row],[Ticket]],1,3,""))</f>
        <v>1175</v>
      </c>
      <c r="C913" s="2" t="s">
        <v>1023</v>
      </c>
      <c r="D913" s="2" t="s">
        <v>2923</v>
      </c>
      <c r="E913" s="2" t="s">
        <v>405</v>
      </c>
      <c r="F913" s="2" t="s">
        <v>398</v>
      </c>
      <c r="G913" s="2" t="str">
        <f>IF(CustomerTable[[#This Row],[Status]]="RESOLVED","Done",IF(CustomerTable[[#This Row],[Status]]="CLOSED","DONE",IF(CustomerTable[[#This Row],[Status]]="DEFERRED","Done","Pending")))</f>
        <v>Done</v>
      </c>
      <c r="H913" s="2" t="s">
        <v>1028</v>
      </c>
      <c r="I913" s="3" t="s">
        <v>389</v>
      </c>
      <c r="J913" s="2" t="s">
        <v>1942</v>
      </c>
      <c r="K913" s="16">
        <v>46184</v>
      </c>
      <c r="M913" s="16">
        <v>46183</v>
      </c>
    </row>
    <row r="914" spans="1:13" x14ac:dyDescent="0.4">
      <c r="A914" s="2" t="s">
        <v>960</v>
      </c>
      <c r="B914" s="2">
        <f>VALUE(REPLACE(CustomerTable[[#This Row],[Ticket]],1,3,""))</f>
        <v>1176</v>
      </c>
      <c r="C914" s="2" t="s">
        <v>1023</v>
      </c>
      <c r="D914" s="2" t="s">
        <v>2924</v>
      </c>
      <c r="E914" s="2" t="s">
        <v>405</v>
      </c>
      <c r="F914" s="2" t="s">
        <v>398</v>
      </c>
      <c r="G914" s="2" t="str">
        <f>IF(CustomerTable[[#This Row],[Status]]="RESOLVED","Done",IF(CustomerTable[[#This Row],[Status]]="CLOSED","DONE",IF(CustomerTable[[#This Row],[Status]]="DEFERRED","Done","Pending")))</f>
        <v>Done</v>
      </c>
      <c r="H914" s="2" t="s">
        <v>1028</v>
      </c>
      <c r="I914" s="2" t="s">
        <v>391</v>
      </c>
      <c r="J914" s="2" t="s">
        <v>1943</v>
      </c>
      <c r="K914" s="16">
        <v>46184</v>
      </c>
      <c r="M914" s="16">
        <v>46189</v>
      </c>
    </row>
    <row r="915" spans="1:13" x14ac:dyDescent="0.4">
      <c r="A915" s="2" t="s">
        <v>961</v>
      </c>
      <c r="B915" s="2">
        <f>VALUE(REPLACE(CustomerTable[[#This Row],[Ticket]],1,3,""))</f>
        <v>1177</v>
      </c>
      <c r="C915" s="2" t="s">
        <v>1023</v>
      </c>
      <c r="D915" s="2" t="s">
        <v>2925</v>
      </c>
      <c r="E915" s="2" t="s">
        <v>405</v>
      </c>
      <c r="F915" s="2" t="s">
        <v>398</v>
      </c>
      <c r="G915" s="2" t="str">
        <f>IF(CustomerTable[[#This Row],[Status]]="RESOLVED","Done",IF(CustomerTable[[#This Row],[Status]]="CLOSED","DONE",IF(CustomerTable[[#This Row],[Status]]="DEFERRED","Done","Pending")))</f>
        <v>Done</v>
      </c>
      <c r="H915" s="2" t="s">
        <v>11</v>
      </c>
      <c r="I915" s="2" t="s">
        <v>392</v>
      </c>
      <c r="J915" s="2" t="s">
        <v>1944</v>
      </c>
      <c r="K915" s="16">
        <v>46184</v>
      </c>
      <c r="M915" s="16"/>
    </row>
    <row r="916" spans="1:13" x14ac:dyDescent="0.4">
      <c r="A916" s="2" t="s">
        <v>962</v>
      </c>
      <c r="B916" s="2">
        <f>VALUE(REPLACE(CustomerTable[[#This Row],[Ticket]],1,3,""))</f>
        <v>1178</v>
      </c>
      <c r="C916" s="2" t="s">
        <v>1023</v>
      </c>
      <c r="D916" s="2" t="s">
        <v>2926</v>
      </c>
      <c r="E916" s="2" t="s">
        <v>400</v>
      </c>
      <c r="F916" s="2" t="s">
        <v>396</v>
      </c>
      <c r="G916" s="2" t="str">
        <f>IF(CustomerTable[[#This Row],[Status]]="RESOLVED","Done",IF(CustomerTable[[#This Row],[Status]]="CLOSED","DONE",IF(CustomerTable[[#This Row],[Status]]="DEFERRED","Done","Pending")))</f>
        <v>Pending</v>
      </c>
      <c r="H916" s="2" t="s">
        <v>1034</v>
      </c>
      <c r="I916" s="2" t="s">
        <v>392</v>
      </c>
      <c r="J916" s="2" t="s">
        <v>1945</v>
      </c>
      <c r="K916" s="16">
        <v>46184</v>
      </c>
      <c r="M916" s="16"/>
    </row>
    <row r="917" spans="1:13" x14ac:dyDescent="0.4">
      <c r="A917" s="2" t="s">
        <v>963</v>
      </c>
      <c r="B917" s="2">
        <f>VALUE(REPLACE(CustomerTable[[#This Row],[Ticket]],1,3,""))</f>
        <v>1179</v>
      </c>
      <c r="C917" s="2" t="s">
        <v>1023</v>
      </c>
      <c r="D917" s="2" t="s">
        <v>2927</v>
      </c>
      <c r="E917" s="2" t="s">
        <v>405</v>
      </c>
      <c r="F917" s="2" t="s">
        <v>398</v>
      </c>
      <c r="G917" s="2" t="str">
        <f>IF(CustomerTable[[#This Row],[Status]]="RESOLVED","Done",IF(CustomerTable[[#This Row],[Status]]="CLOSED","DONE",IF(CustomerTable[[#This Row],[Status]]="DEFERRED","Done","Pending")))</f>
        <v>Done</v>
      </c>
      <c r="H917" s="2" t="s">
        <v>1028</v>
      </c>
      <c r="I917" s="2" t="s">
        <v>392</v>
      </c>
      <c r="J917" s="2" t="s">
        <v>1946</v>
      </c>
      <c r="K917" s="16">
        <v>46185</v>
      </c>
      <c r="M917" s="16">
        <v>46188</v>
      </c>
    </row>
    <row r="918" spans="1:13" x14ac:dyDescent="0.4">
      <c r="A918" s="2" t="s">
        <v>964</v>
      </c>
      <c r="B918" s="2">
        <f>VALUE(REPLACE(CustomerTable[[#This Row],[Ticket]],1,3,""))</f>
        <v>1180</v>
      </c>
      <c r="C918" s="2" t="s">
        <v>1023</v>
      </c>
      <c r="D918" s="2" t="s">
        <v>2928</v>
      </c>
      <c r="E918" s="2" t="s">
        <v>405</v>
      </c>
      <c r="F918" s="2" t="s">
        <v>398</v>
      </c>
      <c r="G918" s="2" t="str">
        <f>IF(CustomerTable[[#This Row],[Status]]="RESOLVED","Done",IF(CustomerTable[[#This Row],[Status]]="CLOSED","DONE",IF(CustomerTable[[#This Row],[Status]]="DEFERRED","Done","Pending")))</f>
        <v>Done</v>
      </c>
      <c r="H918" s="2" t="s">
        <v>1028</v>
      </c>
      <c r="I918" s="2" t="s">
        <v>392</v>
      </c>
      <c r="J918" s="2" t="s">
        <v>1947</v>
      </c>
      <c r="K918" s="16">
        <v>46185</v>
      </c>
      <c r="M918" s="16">
        <v>46185</v>
      </c>
    </row>
    <row r="919" spans="1:13" x14ac:dyDescent="0.4">
      <c r="A919" s="2" t="s">
        <v>965</v>
      </c>
      <c r="B919" s="2">
        <f>VALUE(REPLACE(CustomerTable[[#This Row],[Ticket]],1,3,""))</f>
        <v>1181</v>
      </c>
      <c r="C919" s="2" t="s">
        <v>1023</v>
      </c>
      <c r="D919" s="2" t="s">
        <v>2929</v>
      </c>
      <c r="E919" s="2" t="s">
        <v>405</v>
      </c>
      <c r="F919" s="2" t="s">
        <v>398</v>
      </c>
      <c r="G919" s="2" t="str">
        <f>IF(CustomerTable[[#This Row],[Status]]="RESOLVED","Done",IF(CustomerTable[[#This Row],[Status]]="CLOSED","DONE",IF(CustomerTable[[#This Row],[Status]]="DEFERRED","Done","Pending")))</f>
        <v>Done</v>
      </c>
      <c r="H919" s="2" t="s">
        <v>1028</v>
      </c>
      <c r="I919" s="2" t="s">
        <v>392</v>
      </c>
      <c r="J919" s="2" t="s">
        <v>1948</v>
      </c>
      <c r="K919" s="16">
        <v>46185</v>
      </c>
      <c r="M919" s="16">
        <v>46189</v>
      </c>
    </row>
    <row r="920" spans="1:13" x14ac:dyDescent="0.4">
      <c r="A920" s="2" t="s">
        <v>966</v>
      </c>
      <c r="B920" s="2">
        <f>VALUE(REPLACE(CustomerTable[[#This Row],[Ticket]],1,3,""))</f>
        <v>1182</v>
      </c>
      <c r="C920" s="2" t="s">
        <v>1023</v>
      </c>
      <c r="D920" s="2" t="s">
        <v>2930</v>
      </c>
      <c r="E920" s="2" t="s">
        <v>399</v>
      </c>
      <c r="F920" s="2" t="s">
        <v>413</v>
      </c>
      <c r="G920" s="2" t="str">
        <f>IF(CustomerTable[[#This Row],[Status]]="RESOLVED","Done",IF(CustomerTable[[#This Row],[Status]]="CLOSED","DONE",IF(CustomerTable[[#This Row],[Status]]="DEFERRED","Done","Pending")))</f>
        <v>DONE</v>
      </c>
      <c r="H920" s="2" t="s">
        <v>1028</v>
      </c>
      <c r="I920" s="2" t="s">
        <v>390</v>
      </c>
      <c r="J920" s="2" t="s">
        <v>1949</v>
      </c>
      <c r="K920" s="16">
        <v>46185</v>
      </c>
      <c r="M920" s="16"/>
    </row>
    <row r="921" spans="1:13" x14ac:dyDescent="0.4">
      <c r="A921" s="2" t="s">
        <v>967</v>
      </c>
      <c r="B921" s="2">
        <f>VALUE(REPLACE(CustomerTable[[#This Row],[Ticket]],1,3,""))</f>
        <v>1183</v>
      </c>
      <c r="C921" s="2" t="s">
        <v>1023</v>
      </c>
      <c r="D921" s="2" t="s">
        <v>2931</v>
      </c>
      <c r="E921" s="2" t="s">
        <v>399</v>
      </c>
      <c r="F921" s="2" t="s">
        <v>398</v>
      </c>
      <c r="G921" s="2" t="str">
        <f>IF(CustomerTable[[#This Row],[Status]]="RESOLVED","Done",IF(CustomerTable[[#This Row],[Status]]="CLOSED","DONE",IF(CustomerTable[[#This Row],[Status]]="DEFERRED","Done","Pending")))</f>
        <v>Done</v>
      </c>
      <c r="H921" s="2" t="s">
        <v>1028</v>
      </c>
      <c r="I921" s="2" t="s">
        <v>392</v>
      </c>
      <c r="J921" s="2" t="s">
        <v>1950</v>
      </c>
      <c r="K921" s="16">
        <v>46185</v>
      </c>
      <c r="M921" s="16">
        <v>46185</v>
      </c>
    </row>
    <row r="922" spans="1:13" x14ac:dyDescent="0.4">
      <c r="A922" s="2" t="s">
        <v>968</v>
      </c>
      <c r="B922" s="2">
        <f>VALUE(REPLACE(CustomerTable[[#This Row],[Ticket]],1,3,""))</f>
        <v>1184</v>
      </c>
      <c r="C922" s="2" t="s">
        <v>1023</v>
      </c>
      <c r="D922" s="2" t="s">
        <v>2932</v>
      </c>
      <c r="E922" s="2" t="s">
        <v>399</v>
      </c>
      <c r="F922" s="2" t="s">
        <v>398</v>
      </c>
      <c r="G922" s="2" t="str">
        <f>IF(CustomerTable[[#This Row],[Status]]="RESOLVED","Done",IF(CustomerTable[[#This Row],[Status]]="CLOSED","DONE",IF(CustomerTable[[#This Row],[Status]]="DEFERRED","Done","Pending")))</f>
        <v>Done</v>
      </c>
      <c r="H922" s="2" t="s">
        <v>1028</v>
      </c>
      <c r="I922" s="2" t="s">
        <v>392</v>
      </c>
      <c r="J922" s="2" t="s">
        <v>1951</v>
      </c>
      <c r="K922" s="16">
        <v>46185</v>
      </c>
      <c r="M922" s="16">
        <v>46188</v>
      </c>
    </row>
    <row r="923" spans="1:13" x14ac:dyDescent="0.4">
      <c r="A923" s="2" t="s">
        <v>969</v>
      </c>
      <c r="B923" s="2">
        <f>VALUE(REPLACE(CustomerTable[[#This Row],[Ticket]],1,3,""))</f>
        <v>1185</v>
      </c>
      <c r="C923" s="2" t="s">
        <v>1023</v>
      </c>
      <c r="D923" s="2" t="s">
        <v>2933</v>
      </c>
      <c r="E923" s="2" t="s">
        <v>405</v>
      </c>
      <c r="F923" s="2" t="s">
        <v>398</v>
      </c>
      <c r="G923" s="2" t="str">
        <f>IF(CustomerTable[[#This Row],[Status]]="RESOLVED","Done",IF(CustomerTable[[#This Row],[Status]]="CLOSED","DONE",IF(CustomerTable[[#This Row],[Status]]="DEFERRED","Done","Pending")))</f>
        <v>Done</v>
      </c>
      <c r="H923" s="2" t="s">
        <v>1028</v>
      </c>
      <c r="I923" s="2" t="s">
        <v>391</v>
      </c>
      <c r="J923" s="2" t="s">
        <v>1952</v>
      </c>
      <c r="K923" s="16">
        <v>46188</v>
      </c>
      <c r="M923" s="16">
        <v>46192</v>
      </c>
    </row>
    <row r="924" spans="1:13" x14ac:dyDescent="0.4">
      <c r="A924" s="2" t="s">
        <v>970</v>
      </c>
      <c r="B924" s="2">
        <f>VALUE(REPLACE(CustomerTable[[#This Row],[Ticket]],1,3,""))</f>
        <v>1186</v>
      </c>
      <c r="C924" s="2" t="s">
        <v>1023</v>
      </c>
      <c r="D924" s="2" t="s">
        <v>2934</v>
      </c>
      <c r="E924" s="2" t="s">
        <v>399</v>
      </c>
      <c r="F924" s="2" t="s">
        <v>398</v>
      </c>
      <c r="G924" s="2" t="str">
        <f>IF(CustomerTable[[#This Row],[Status]]="RESOLVED","Done",IF(CustomerTable[[#This Row],[Status]]="CLOSED","DONE",IF(CustomerTable[[#This Row],[Status]]="DEFERRED","Done","Pending")))</f>
        <v>Done</v>
      </c>
      <c r="H924" s="2" t="s">
        <v>11</v>
      </c>
      <c r="I924" s="2" t="s">
        <v>390</v>
      </c>
      <c r="J924" s="2" t="s">
        <v>1953</v>
      </c>
      <c r="K924" s="16">
        <v>46188</v>
      </c>
      <c r="M924" s="16">
        <v>46188</v>
      </c>
    </row>
    <row r="925" spans="1:13" x14ac:dyDescent="0.4">
      <c r="A925" s="2" t="s">
        <v>971</v>
      </c>
      <c r="B925" s="2">
        <f>VALUE(REPLACE(CustomerTable[[#This Row],[Ticket]],1,3,""))</f>
        <v>1187</v>
      </c>
      <c r="C925" s="2" t="s">
        <v>1024</v>
      </c>
      <c r="D925" s="2" t="s">
        <v>2935</v>
      </c>
      <c r="E925" s="2" t="s">
        <v>405</v>
      </c>
      <c r="F925" s="2" t="s">
        <v>398</v>
      </c>
      <c r="G925" s="2" t="str">
        <f>IF(CustomerTable[[#This Row],[Status]]="RESOLVED","Done",IF(CustomerTable[[#This Row],[Status]]="CLOSED","DONE",IF(CustomerTable[[#This Row],[Status]]="DEFERRED","Done","Pending")))</f>
        <v>Done</v>
      </c>
      <c r="H925" s="2" t="s">
        <v>1029</v>
      </c>
      <c r="I925" s="2" t="s">
        <v>390</v>
      </c>
      <c r="J925" s="2" t="s">
        <v>1954</v>
      </c>
      <c r="K925" s="16">
        <v>46188</v>
      </c>
      <c r="M925" s="16">
        <v>46192</v>
      </c>
    </row>
    <row r="926" spans="1:13" x14ac:dyDescent="0.4">
      <c r="A926" s="2" t="s">
        <v>972</v>
      </c>
      <c r="B926" s="2">
        <f>VALUE(REPLACE(CustomerTable[[#This Row],[Ticket]],1,3,""))</f>
        <v>1188</v>
      </c>
      <c r="C926" s="2" t="s">
        <v>1024</v>
      </c>
      <c r="D926" s="2" t="s">
        <v>2936</v>
      </c>
      <c r="E926" s="2" t="s">
        <v>405</v>
      </c>
      <c r="F926" s="2" t="s">
        <v>398</v>
      </c>
      <c r="G926" s="2" t="str">
        <f>IF(CustomerTable[[#This Row],[Status]]="RESOLVED","Done",IF(CustomerTable[[#This Row],[Status]]="CLOSED","DONE",IF(CustomerTable[[#This Row],[Status]]="DEFERRED","Done","Pending")))</f>
        <v>Done</v>
      </c>
      <c r="H926" s="2" t="s">
        <v>1034</v>
      </c>
      <c r="I926" s="2" t="s">
        <v>393</v>
      </c>
      <c r="J926" s="2" t="s">
        <v>1955</v>
      </c>
      <c r="K926" s="16">
        <v>46188</v>
      </c>
      <c r="M926" s="16">
        <v>46198</v>
      </c>
    </row>
    <row r="927" spans="1:13" x14ac:dyDescent="0.4">
      <c r="A927" s="2" t="s">
        <v>973</v>
      </c>
      <c r="B927" s="2">
        <f>VALUE(REPLACE(CustomerTable[[#This Row],[Ticket]],1,3,""))</f>
        <v>1189</v>
      </c>
      <c r="C927" s="2" t="s">
        <v>1023</v>
      </c>
      <c r="D927" s="2" t="s">
        <v>2937</v>
      </c>
      <c r="E927" s="2" t="s">
        <v>405</v>
      </c>
      <c r="F927" s="2" t="s">
        <v>398</v>
      </c>
      <c r="G927" s="2" t="str">
        <f>IF(CustomerTable[[#This Row],[Status]]="RESOLVED","Done",IF(CustomerTable[[#This Row],[Status]]="CLOSED","DONE",IF(CustomerTable[[#This Row],[Status]]="DEFERRED","Done","Pending")))</f>
        <v>Done</v>
      </c>
      <c r="H927" s="2" t="s">
        <v>1034</v>
      </c>
      <c r="I927" s="2" t="s">
        <v>389</v>
      </c>
      <c r="J927" s="2" t="s">
        <v>1956</v>
      </c>
      <c r="K927" s="16">
        <v>46188</v>
      </c>
      <c r="M927" s="16">
        <v>46202</v>
      </c>
    </row>
    <row r="928" spans="1:13" x14ac:dyDescent="0.4">
      <c r="A928" s="2" t="s">
        <v>974</v>
      </c>
      <c r="B928" s="2">
        <f>VALUE(REPLACE(CustomerTable[[#This Row],[Ticket]],1,3,""))</f>
        <v>1190</v>
      </c>
      <c r="C928" s="2" t="s">
        <v>1023</v>
      </c>
      <c r="D928" s="2" t="s">
        <v>2938</v>
      </c>
      <c r="E928" s="2" t="s">
        <v>405</v>
      </c>
      <c r="F928" s="2" t="s">
        <v>398</v>
      </c>
      <c r="G928" s="2" t="str">
        <f>IF(CustomerTable[[#This Row],[Status]]="RESOLVED","Done",IF(CustomerTable[[#This Row],[Status]]="CLOSED","DONE",IF(CustomerTable[[#This Row],[Status]]="DEFERRED","Done","Pending")))</f>
        <v>Done</v>
      </c>
      <c r="H928" s="2" t="s">
        <v>1034</v>
      </c>
      <c r="I928" s="2" t="s">
        <v>390</v>
      </c>
      <c r="J928" s="2" t="s">
        <v>1957</v>
      </c>
      <c r="K928" s="16">
        <v>46188</v>
      </c>
      <c r="M928" s="16">
        <v>46193</v>
      </c>
    </row>
    <row r="929" spans="1:13" x14ac:dyDescent="0.4">
      <c r="A929" s="2" t="s">
        <v>975</v>
      </c>
      <c r="B929" s="2">
        <f>VALUE(REPLACE(CustomerTable[[#This Row],[Ticket]],1,3,""))</f>
        <v>1191</v>
      </c>
      <c r="C929" s="2" t="s">
        <v>1023</v>
      </c>
      <c r="D929" s="2" t="s">
        <v>2939</v>
      </c>
      <c r="E929" s="2" t="s">
        <v>405</v>
      </c>
      <c r="F929" s="2" t="s">
        <v>398</v>
      </c>
      <c r="G929" s="2" t="str">
        <f>IF(CustomerTable[[#This Row],[Status]]="RESOLVED","Done",IF(CustomerTable[[#This Row],[Status]]="CLOSED","DONE",IF(CustomerTable[[#This Row],[Status]]="DEFERRED","Done","Pending")))</f>
        <v>Done</v>
      </c>
      <c r="H929" s="2" t="s">
        <v>1028</v>
      </c>
      <c r="I929" s="2" t="s">
        <v>389</v>
      </c>
      <c r="J929" s="2" t="s">
        <v>1958</v>
      </c>
      <c r="K929" s="16">
        <v>46188</v>
      </c>
      <c r="M929" s="16">
        <v>46189</v>
      </c>
    </row>
    <row r="930" spans="1:13" x14ac:dyDescent="0.4">
      <c r="A930" s="2" t="s">
        <v>976</v>
      </c>
      <c r="B930" s="2">
        <f>VALUE(REPLACE(CustomerTable[[#This Row],[Ticket]],1,3,""))</f>
        <v>1192</v>
      </c>
      <c r="C930" s="2" t="s">
        <v>1023</v>
      </c>
      <c r="D930" s="2" t="s">
        <v>2940</v>
      </c>
      <c r="E930" s="2" t="s">
        <v>405</v>
      </c>
      <c r="F930" s="2" t="s">
        <v>398</v>
      </c>
      <c r="G930" s="2" t="str">
        <f>IF(CustomerTable[[#This Row],[Status]]="RESOLVED","Done",IF(CustomerTable[[#This Row],[Status]]="CLOSED","DONE",IF(CustomerTable[[#This Row],[Status]]="DEFERRED","Done","Pending")))</f>
        <v>Done</v>
      </c>
      <c r="H930" s="2" t="s">
        <v>1028</v>
      </c>
      <c r="I930" s="2" t="s">
        <v>392</v>
      </c>
      <c r="J930" s="2" t="s">
        <v>1959</v>
      </c>
      <c r="K930" s="16">
        <v>46188</v>
      </c>
      <c r="M930" s="16">
        <v>46196</v>
      </c>
    </row>
    <row r="931" spans="1:13" x14ac:dyDescent="0.4">
      <c r="A931" s="2" t="s">
        <v>977</v>
      </c>
      <c r="B931" s="2">
        <f>VALUE(REPLACE(CustomerTable[[#This Row],[Ticket]],1,3,""))</f>
        <v>1193</v>
      </c>
      <c r="C931" s="2" t="s">
        <v>1024</v>
      </c>
      <c r="D931" s="2" t="s">
        <v>2941</v>
      </c>
      <c r="E931" s="2" t="s">
        <v>405</v>
      </c>
      <c r="F931" s="2" t="s">
        <v>398</v>
      </c>
      <c r="G931" s="2" t="str">
        <f>IF(CustomerTable[[#This Row],[Status]]="RESOLVED","Done",IF(CustomerTable[[#This Row],[Status]]="CLOSED","DONE",IF(CustomerTable[[#This Row],[Status]]="DEFERRED","Done","Pending")))</f>
        <v>Done</v>
      </c>
      <c r="H931" s="2" t="s">
        <v>1034</v>
      </c>
      <c r="I931" s="2" t="s">
        <v>395</v>
      </c>
      <c r="J931" s="2" t="s">
        <v>1960</v>
      </c>
      <c r="K931" s="16">
        <v>46188</v>
      </c>
      <c r="M931" s="16">
        <v>46202</v>
      </c>
    </row>
    <row r="932" spans="1:13" x14ac:dyDescent="0.4">
      <c r="A932" s="2" t="s">
        <v>978</v>
      </c>
      <c r="B932" s="2">
        <f>VALUE(REPLACE(CustomerTable[[#This Row],[Ticket]],1,3,""))</f>
        <v>1194</v>
      </c>
      <c r="C932" s="2" t="s">
        <v>1023</v>
      </c>
      <c r="D932" s="2" t="s">
        <v>2942</v>
      </c>
      <c r="E932" s="2" t="s">
        <v>405</v>
      </c>
      <c r="F932" s="2" t="s">
        <v>398</v>
      </c>
      <c r="G932" s="2" t="str">
        <f>IF(CustomerTable[[#This Row],[Status]]="RESOLVED","Done",IF(CustomerTable[[#This Row],[Status]]="CLOSED","DONE",IF(CustomerTable[[#This Row],[Status]]="DEFERRED","Done","Pending")))</f>
        <v>Done</v>
      </c>
      <c r="H932" s="2" t="s">
        <v>1028</v>
      </c>
      <c r="I932" s="2" t="s">
        <v>392</v>
      </c>
      <c r="J932" s="2" t="s">
        <v>1961</v>
      </c>
      <c r="K932" s="16">
        <v>46188</v>
      </c>
      <c r="M932" s="16">
        <v>46192</v>
      </c>
    </row>
    <row r="933" spans="1:13" x14ac:dyDescent="0.4">
      <c r="A933" s="2" t="s">
        <v>979</v>
      </c>
      <c r="B933" s="2">
        <f>VALUE(REPLACE(CustomerTable[[#This Row],[Ticket]],1,3,""))</f>
        <v>1195</v>
      </c>
      <c r="C933" s="2" t="s">
        <v>1023</v>
      </c>
      <c r="D933" s="2" t="s">
        <v>2943</v>
      </c>
      <c r="E933" s="2" t="s">
        <v>405</v>
      </c>
      <c r="F933" s="2" t="s">
        <v>398</v>
      </c>
      <c r="G933" s="2" t="str">
        <f>IF(CustomerTable[[#This Row],[Status]]="RESOLVED","Done",IF(CustomerTable[[#This Row],[Status]]="CLOSED","DONE",IF(CustomerTable[[#This Row],[Status]]="DEFERRED","Done","Pending")))</f>
        <v>Done</v>
      </c>
      <c r="H933" s="2" t="s">
        <v>1028</v>
      </c>
      <c r="I933" s="2" t="s">
        <v>392</v>
      </c>
      <c r="J933" s="2" t="s">
        <v>1962</v>
      </c>
      <c r="K933" s="16">
        <v>46188</v>
      </c>
      <c r="M933" s="16">
        <v>46189</v>
      </c>
    </row>
    <row r="934" spans="1:13" x14ac:dyDescent="0.4">
      <c r="A934" s="2" t="s">
        <v>980</v>
      </c>
      <c r="B934" s="2">
        <f>VALUE(REPLACE(CustomerTable[[#This Row],[Ticket]],1,3,""))</f>
        <v>1196</v>
      </c>
      <c r="C934" s="2" t="s">
        <v>1023</v>
      </c>
      <c r="D934" s="2" t="s">
        <v>2944</v>
      </c>
      <c r="E934" s="2" t="s">
        <v>405</v>
      </c>
      <c r="F934" s="2" t="s">
        <v>398</v>
      </c>
      <c r="G934" s="2" t="str">
        <f>IF(CustomerTable[[#This Row],[Status]]="RESOLVED","Done",IF(CustomerTable[[#This Row],[Status]]="CLOSED","DONE",IF(CustomerTable[[#This Row],[Status]]="DEFERRED","Done","Pending")))</f>
        <v>Done</v>
      </c>
      <c r="H934" s="2" t="s">
        <v>11</v>
      </c>
      <c r="I934" s="2" t="s">
        <v>393</v>
      </c>
      <c r="J934" s="2" t="s">
        <v>1963</v>
      </c>
      <c r="K934" s="16">
        <v>46189</v>
      </c>
      <c r="M934" s="16">
        <v>46202</v>
      </c>
    </row>
    <row r="935" spans="1:13" x14ac:dyDescent="0.4">
      <c r="A935" s="2" t="s">
        <v>981</v>
      </c>
      <c r="B935" s="2">
        <f>VALUE(REPLACE(CustomerTable[[#This Row],[Ticket]],1,3,""))</f>
        <v>1197</v>
      </c>
      <c r="C935" s="2" t="s">
        <v>1023</v>
      </c>
      <c r="D935" s="2" t="s">
        <v>2945</v>
      </c>
      <c r="E935" s="2" t="s">
        <v>405</v>
      </c>
      <c r="F935" s="2" t="s">
        <v>398</v>
      </c>
      <c r="G935" s="2" t="str">
        <f>IF(CustomerTable[[#This Row],[Status]]="RESOLVED","Done",IF(CustomerTable[[#This Row],[Status]]="CLOSED","DONE",IF(CustomerTable[[#This Row],[Status]]="DEFERRED","Done","Pending")))</f>
        <v>Done</v>
      </c>
      <c r="H935" s="2" t="s">
        <v>1028</v>
      </c>
      <c r="I935" s="2" t="s">
        <v>392</v>
      </c>
      <c r="J935" s="2" t="s">
        <v>1964</v>
      </c>
      <c r="K935" s="16">
        <v>46189</v>
      </c>
      <c r="M935" s="16">
        <v>46202</v>
      </c>
    </row>
    <row r="936" spans="1:13" x14ac:dyDescent="0.4">
      <c r="A936" s="2" t="s">
        <v>982</v>
      </c>
      <c r="B936" s="2">
        <f>VALUE(REPLACE(CustomerTable[[#This Row],[Ticket]],1,3,""))</f>
        <v>1198</v>
      </c>
      <c r="C936" s="2" t="s">
        <v>1023</v>
      </c>
      <c r="D936" s="2" t="s">
        <v>2946</v>
      </c>
      <c r="E936" s="2" t="s">
        <v>405</v>
      </c>
      <c r="F936" s="2" t="s">
        <v>398</v>
      </c>
      <c r="G936" s="2" t="str">
        <f>IF(CustomerTable[[#This Row],[Status]]="RESOLVED","Done",IF(CustomerTable[[#This Row],[Status]]="CLOSED","DONE",IF(CustomerTable[[#This Row],[Status]]="DEFERRED","Done","Pending")))</f>
        <v>Done</v>
      </c>
      <c r="H936" s="2" t="s">
        <v>11</v>
      </c>
      <c r="I936" s="2" t="s">
        <v>390</v>
      </c>
      <c r="J936" s="2" t="s">
        <v>1965</v>
      </c>
      <c r="K936" s="16">
        <v>46189</v>
      </c>
      <c r="M936" s="16">
        <v>46202</v>
      </c>
    </row>
    <row r="937" spans="1:13" x14ac:dyDescent="0.4">
      <c r="A937" s="2" t="s">
        <v>983</v>
      </c>
      <c r="B937" s="2">
        <f>VALUE(REPLACE(CustomerTable[[#This Row],[Ticket]],1,3,""))</f>
        <v>1199</v>
      </c>
      <c r="C937" s="2" t="s">
        <v>1023</v>
      </c>
      <c r="D937" s="2" t="s">
        <v>2947</v>
      </c>
      <c r="E937" s="2" t="s">
        <v>405</v>
      </c>
      <c r="F937" s="2" t="s">
        <v>398</v>
      </c>
      <c r="G937" s="2" t="str">
        <f>IF(CustomerTable[[#This Row],[Status]]="RESOLVED","Done",IF(CustomerTable[[#This Row],[Status]]="CLOSED","DONE",IF(CustomerTable[[#This Row],[Status]]="DEFERRED","Done","Pending")))</f>
        <v>Done</v>
      </c>
      <c r="H937" s="2" t="s">
        <v>1028</v>
      </c>
      <c r="I937" s="2" t="s">
        <v>392</v>
      </c>
      <c r="J937" s="2" t="s">
        <v>1966</v>
      </c>
      <c r="K937" s="16">
        <v>46189</v>
      </c>
      <c r="M937" s="16">
        <v>46204</v>
      </c>
    </row>
    <row r="938" spans="1:13" x14ac:dyDescent="0.4">
      <c r="A938" s="2" t="s">
        <v>984</v>
      </c>
      <c r="B938" s="2">
        <f>VALUE(REPLACE(CustomerTable[[#This Row],[Ticket]],1,3,""))</f>
        <v>1200</v>
      </c>
      <c r="C938" s="2" t="s">
        <v>1023</v>
      </c>
      <c r="D938" s="2" t="s">
        <v>2948</v>
      </c>
      <c r="E938" s="2" t="s">
        <v>405</v>
      </c>
      <c r="F938" s="2" t="s">
        <v>398</v>
      </c>
      <c r="G938" s="2" t="str">
        <f>IF(CustomerTable[[#This Row],[Status]]="RESOLVED","Done",IF(CustomerTable[[#This Row],[Status]]="CLOSED","DONE",IF(CustomerTable[[#This Row],[Status]]="DEFERRED","Done","Pending")))</f>
        <v>Done</v>
      </c>
      <c r="H938" s="2" t="s">
        <v>1034</v>
      </c>
      <c r="I938" s="2" t="s">
        <v>392</v>
      </c>
      <c r="J938" s="2" t="s">
        <v>1967</v>
      </c>
      <c r="K938" s="16">
        <v>46190</v>
      </c>
      <c r="M938" s="16">
        <v>46204</v>
      </c>
    </row>
    <row r="939" spans="1:13" x14ac:dyDescent="0.4">
      <c r="A939" s="2" t="s">
        <v>985</v>
      </c>
      <c r="B939" s="2">
        <f>VALUE(REPLACE(CustomerTable[[#This Row],[Ticket]],1,3,""))</f>
        <v>1201</v>
      </c>
      <c r="C939" s="2" t="s">
        <v>1023</v>
      </c>
      <c r="D939" s="2" t="s">
        <v>2949</v>
      </c>
      <c r="E939" s="2" t="s">
        <v>405</v>
      </c>
      <c r="F939" s="2" t="s">
        <v>398</v>
      </c>
      <c r="G939" s="2" t="str">
        <f>IF(CustomerTable[[#This Row],[Status]]="RESOLVED","Done",IF(CustomerTable[[#This Row],[Status]]="CLOSED","DONE",IF(CustomerTable[[#This Row],[Status]]="DEFERRED","Done","Pending")))</f>
        <v>Done</v>
      </c>
      <c r="H939" s="2" t="s">
        <v>11</v>
      </c>
      <c r="I939" s="2" t="s">
        <v>392</v>
      </c>
      <c r="J939" s="2" t="s">
        <v>1968</v>
      </c>
      <c r="K939" s="16">
        <v>46190</v>
      </c>
      <c r="M939" s="16">
        <v>46192</v>
      </c>
    </row>
    <row r="940" spans="1:13" x14ac:dyDescent="0.4">
      <c r="A940" s="2" t="s">
        <v>986</v>
      </c>
      <c r="B940" s="2">
        <f>VALUE(REPLACE(CustomerTable[[#This Row],[Ticket]],1,3,""))</f>
        <v>1202</v>
      </c>
      <c r="C940" s="2" t="s">
        <v>1023</v>
      </c>
      <c r="D940" s="2" t="s">
        <v>2950</v>
      </c>
      <c r="E940" s="2" t="s">
        <v>405</v>
      </c>
      <c r="F940" s="2" t="s">
        <v>398</v>
      </c>
      <c r="G940" s="2" t="str">
        <f>IF(CustomerTable[[#This Row],[Status]]="RESOLVED","Done",IF(CustomerTable[[#This Row],[Status]]="CLOSED","DONE",IF(CustomerTable[[#This Row],[Status]]="DEFERRED","Done","Pending")))</f>
        <v>Done</v>
      </c>
      <c r="H940" s="2" t="s">
        <v>1028</v>
      </c>
      <c r="I940" s="2" t="s">
        <v>391</v>
      </c>
      <c r="J940" s="2" t="s">
        <v>1969</v>
      </c>
      <c r="K940" s="16">
        <v>46190</v>
      </c>
      <c r="M940" s="16">
        <v>46196</v>
      </c>
    </row>
    <row r="941" spans="1:13" x14ac:dyDescent="0.4">
      <c r="A941" s="2" t="s">
        <v>987</v>
      </c>
      <c r="B941" s="2">
        <f>VALUE(REPLACE(CustomerTable[[#This Row],[Ticket]],1,3,""))</f>
        <v>1203</v>
      </c>
      <c r="C941" s="2" t="s">
        <v>1023</v>
      </c>
      <c r="D941" s="2" t="s">
        <v>2951</v>
      </c>
      <c r="E941" s="2" t="s">
        <v>405</v>
      </c>
      <c r="F941" s="2" t="s">
        <v>398</v>
      </c>
      <c r="G941" s="2" t="str">
        <f>IF(CustomerTable[[#This Row],[Status]]="RESOLVED","Done",IF(CustomerTable[[#This Row],[Status]]="CLOSED","DONE",IF(CustomerTable[[#This Row],[Status]]="DEFERRED","Done","Pending")))</f>
        <v>Done</v>
      </c>
      <c r="H941" s="2" t="s">
        <v>1028</v>
      </c>
      <c r="I941" s="2" t="s">
        <v>389</v>
      </c>
      <c r="J941" s="2" t="s">
        <v>1970</v>
      </c>
      <c r="K941" s="16">
        <v>46190</v>
      </c>
      <c r="M941" s="16">
        <v>46210</v>
      </c>
    </row>
    <row r="942" spans="1:13" x14ac:dyDescent="0.4">
      <c r="A942" s="2" t="s">
        <v>988</v>
      </c>
      <c r="B942" s="2">
        <f>VALUE(REPLACE(CustomerTable[[#This Row],[Ticket]],1,3,""))</f>
        <v>1204</v>
      </c>
      <c r="C942" s="2" t="s">
        <v>1023</v>
      </c>
      <c r="D942" s="2" t="s">
        <v>2952</v>
      </c>
      <c r="E942" s="2" t="s">
        <v>405</v>
      </c>
      <c r="F942" s="2" t="s">
        <v>398</v>
      </c>
      <c r="G942" s="2" t="str">
        <f>IF(CustomerTable[[#This Row],[Status]]="RESOLVED","Done",IF(CustomerTable[[#This Row],[Status]]="CLOSED","DONE",IF(CustomerTable[[#This Row],[Status]]="DEFERRED","Done","Pending")))</f>
        <v>Done</v>
      </c>
      <c r="H942" s="2" t="s">
        <v>1028</v>
      </c>
      <c r="I942" s="2" t="s">
        <v>390</v>
      </c>
      <c r="J942" s="2" t="s">
        <v>1971</v>
      </c>
      <c r="K942" s="16">
        <v>46190</v>
      </c>
      <c r="M942" s="16">
        <v>46196</v>
      </c>
    </row>
    <row r="943" spans="1:13" x14ac:dyDescent="0.4">
      <c r="A943" s="2" t="s">
        <v>989</v>
      </c>
      <c r="B943" s="2">
        <f>VALUE(REPLACE(CustomerTable[[#This Row],[Ticket]],1,3,""))</f>
        <v>1205</v>
      </c>
      <c r="C943" s="2" t="s">
        <v>1024</v>
      </c>
      <c r="D943" s="2" t="s">
        <v>2953</v>
      </c>
      <c r="E943" s="2" t="s">
        <v>405</v>
      </c>
      <c r="F943" s="2" t="s">
        <v>398</v>
      </c>
      <c r="G943" s="2" t="str">
        <f>IF(CustomerTable[[#This Row],[Status]]="RESOLVED","Done",IF(CustomerTable[[#This Row],[Status]]="CLOSED","DONE",IF(CustomerTable[[#This Row],[Status]]="DEFERRED","Done","Pending")))</f>
        <v>Done</v>
      </c>
      <c r="H943" s="2" t="s">
        <v>1034</v>
      </c>
      <c r="I943" s="2" t="s">
        <v>393</v>
      </c>
      <c r="J943" s="2" t="s">
        <v>1972</v>
      </c>
      <c r="K943" s="16">
        <v>46190</v>
      </c>
      <c r="M943" s="16">
        <v>46191</v>
      </c>
    </row>
    <row r="944" spans="1:13" x14ac:dyDescent="0.4">
      <c r="A944" s="2" t="s">
        <v>990</v>
      </c>
      <c r="B944" s="2">
        <f>VALUE(REPLACE(CustomerTable[[#This Row],[Ticket]],1,3,""))</f>
        <v>1206</v>
      </c>
      <c r="C944" s="2" t="s">
        <v>1023</v>
      </c>
      <c r="D944" s="2" t="s">
        <v>2954</v>
      </c>
      <c r="E944" s="2" t="s">
        <v>405</v>
      </c>
      <c r="F944" s="2" t="s">
        <v>398</v>
      </c>
      <c r="G944" s="2" t="str">
        <f>IF(CustomerTable[[#This Row],[Status]]="RESOLVED","Done",IF(CustomerTable[[#This Row],[Status]]="CLOSED","DONE",IF(CustomerTable[[#This Row],[Status]]="DEFERRED","Done","Pending")))</f>
        <v>Done</v>
      </c>
      <c r="H944" s="2" t="s">
        <v>1028</v>
      </c>
      <c r="I944" s="2" t="s">
        <v>389</v>
      </c>
      <c r="J944" s="2" t="s">
        <v>1973</v>
      </c>
      <c r="K944" s="16">
        <v>46192</v>
      </c>
      <c r="M944" s="16">
        <v>46207</v>
      </c>
    </row>
    <row r="945" spans="1:13" x14ac:dyDescent="0.4">
      <c r="A945" s="2" t="s">
        <v>991</v>
      </c>
      <c r="B945" s="2">
        <f>VALUE(REPLACE(CustomerTable[[#This Row],[Ticket]],1,3,""))</f>
        <v>1207</v>
      </c>
      <c r="C945" s="2" t="s">
        <v>1023</v>
      </c>
      <c r="D945" s="2" t="s">
        <v>2955</v>
      </c>
      <c r="E945" s="2" t="s">
        <v>400</v>
      </c>
      <c r="F945" s="2" t="s">
        <v>396</v>
      </c>
      <c r="G945" s="2" t="str">
        <f>IF(CustomerTable[[#This Row],[Status]]="RESOLVED","Done",IF(CustomerTable[[#This Row],[Status]]="CLOSED","DONE",IF(CustomerTable[[#This Row],[Status]]="DEFERRED","Done","Pending")))</f>
        <v>Pending</v>
      </c>
      <c r="H945" s="2" t="s">
        <v>1028</v>
      </c>
      <c r="I945" s="2" t="s">
        <v>392</v>
      </c>
      <c r="J945" s="2" t="s">
        <v>1974</v>
      </c>
      <c r="K945" s="16">
        <v>46192</v>
      </c>
      <c r="M945" s="16"/>
    </row>
    <row r="946" spans="1:13" x14ac:dyDescent="0.4">
      <c r="A946" s="2" t="s">
        <v>992</v>
      </c>
      <c r="B946" s="2">
        <f>VALUE(REPLACE(CustomerTable[[#This Row],[Ticket]],1,3,""))</f>
        <v>1208</v>
      </c>
      <c r="C946" s="2" t="s">
        <v>1023</v>
      </c>
      <c r="D946" s="2" t="s">
        <v>2956</v>
      </c>
      <c r="E946" s="2" t="s">
        <v>405</v>
      </c>
      <c r="F946" s="2" t="s">
        <v>398</v>
      </c>
      <c r="G946" s="2" t="str">
        <f>IF(CustomerTable[[#This Row],[Status]]="RESOLVED","Done",IF(CustomerTable[[#This Row],[Status]]="CLOSED","DONE",IF(CustomerTable[[#This Row],[Status]]="DEFERRED","Done","Pending")))</f>
        <v>Done</v>
      </c>
      <c r="H946" s="2" t="s">
        <v>1028</v>
      </c>
      <c r="I946" s="2" t="s">
        <v>390</v>
      </c>
      <c r="J946" s="2" t="s">
        <v>1975</v>
      </c>
      <c r="K946" s="16">
        <v>46192</v>
      </c>
      <c r="M946" s="16">
        <v>46196</v>
      </c>
    </row>
    <row r="947" spans="1:13" x14ac:dyDescent="0.4">
      <c r="A947" s="2" t="s">
        <v>993</v>
      </c>
      <c r="B947" s="2">
        <f>VALUE(REPLACE(CustomerTable[[#This Row],[Ticket]],1,3,""))</f>
        <v>1209</v>
      </c>
      <c r="C947" s="2" t="s">
        <v>1023</v>
      </c>
      <c r="D947" s="2" t="s">
        <v>2957</v>
      </c>
      <c r="E947" s="2" t="s">
        <v>405</v>
      </c>
      <c r="F947" s="2" t="s">
        <v>398</v>
      </c>
      <c r="G947" s="2" t="str">
        <f>IF(CustomerTable[[#This Row],[Status]]="RESOLVED","Done",IF(CustomerTable[[#This Row],[Status]]="CLOSED","DONE",IF(CustomerTable[[#This Row],[Status]]="DEFERRED","Done","Pending")))</f>
        <v>Done</v>
      </c>
      <c r="H947" s="2" t="s">
        <v>1028</v>
      </c>
      <c r="I947" s="2" t="s">
        <v>389</v>
      </c>
      <c r="J947" s="2" t="s">
        <v>1976</v>
      </c>
      <c r="K947" s="16">
        <v>46192</v>
      </c>
      <c r="M947" s="16">
        <v>46195</v>
      </c>
    </row>
    <row r="948" spans="1:13" x14ac:dyDescent="0.4">
      <c r="A948" s="2" t="s">
        <v>994</v>
      </c>
      <c r="B948" s="2">
        <f>VALUE(REPLACE(CustomerTable[[#This Row],[Ticket]],1,3,""))</f>
        <v>1210</v>
      </c>
      <c r="C948" s="2" t="s">
        <v>1023</v>
      </c>
      <c r="D948" s="2" t="s">
        <v>2958</v>
      </c>
      <c r="E948" s="2" t="s">
        <v>405</v>
      </c>
      <c r="F948" s="2" t="s">
        <v>398</v>
      </c>
      <c r="G948" s="2" t="str">
        <f>IF(CustomerTable[[#This Row],[Status]]="RESOLVED","Done",IF(CustomerTable[[#This Row],[Status]]="CLOSED","DONE",IF(CustomerTable[[#This Row],[Status]]="DEFERRED","Done","Pending")))</f>
        <v>Done</v>
      </c>
      <c r="H948" s="2" t="s">
        <v>1028</v>
      </c>
      <c r="I948" s="2" t="s">
        <v>392</v>
      </c>
      <c r="J948" s="2" t="s">
        <v>1977</v>
      </c>
      <c r="K948" s="16">
        <v>46195</v>
      </c>
      <c r="M948" s="16">
        <v>46202</v>
      </c>
    </row>
    <row r="949" spans="1:13" x14ac:dyDescent="0.4">
      <c r="A949" s="2" t="s">
        <v>995</v>
      </c>
      <c r="B949" s="2">
        <f>VALUE(REPLACE(CustomerTable[[#This Row],[Ticket]],1,3,""))</f>
        <v>1211</v>
      </c>
      <c r="C949" s="2" t="s">
        <v>1023</v>
      </c>
      <c r="D949" s="2" t="s">
        <v>2959</v>
      </c>
      <c r="E949" s="2" t="s">
        <v>405</v>
      </c>
      <c r="F949" s="2" t="s">
        <v>398</v>
      </c>
      <c r="G949" s="2" t="str">
        <f>IF(CustomerTable[[#This Row],[Status]]="RESOLVED","Done",IF(CustomerTable[[#This Row],[Status]]="CLOSED","DONE",IF(CustomerTable[[#This Row],[Status]]="DEFERRED","Done","Pending")))</f>
        <v>Done</v>
      </c>
      <c r="H949" s="2" t="s">
        <v>11</v>
      </c>
      <c r="I949" s="2" t="s">
        <v>393</v>
      </c>
      <c r="J949" s="2" t="s">
        <v>1978</v>
      </c>
      <c r="K949" s="16">
        <v>46195</v>
      </c>
      <c r="M949" s="16">
        <v>46195</v>
      </c>
    </row>
    <row r="950" spans="1:13" x14ac:dyDescent="0.4">
      <c r="A950" s="2" t="s">
        <v>996</v>
      </c>
      <c r="B950" s="2">
        <f>VALUE(REPLACE(CustomerTable[[#This Row],[Ticket]],1,3,""))</f>
        <v>1212</v>
      </c>
      <c r="C950" s="2" t="s">
        <v>1023</v>
      </c>
      <c r="D950" s="2" t="s">
        <v>2960</v>
      </c>
      <c r="E950" s="2" t="s">
        <v>405</v>
      </c>
      <c r="F950" s="2" t="s">
        <v>398</v>
      </c>
      <c r="G950" s="2" t="str">
        <f>IF(CustomerTable[[#This Row],[Status]]="RESOLVED","Done",IF(CustomerTable[[#This Row],[Status]]="CLOSED","DONE",IF(CustomerTable[[#This Row],[Status]]="DEFERRED","Done","Pending")))</f>
        <v>Done</v>
      </c>
      <c r="H950" s="2" t="s">
        <v>1028</v>
      </c>
      <c r="I950" s="2" t="s">
        <v>390</v>
      </c>
      <c r="J950" s="2" t="s">
        <v>1979</v>
      </c>
      <c r="K950" s="16">
        <v>46195</v>
      </c>
      <c r="M950" s="16">
        <v>46196</v>
      </c>
    </row>
    <row r="951" spans="1:13" x14ac:dyDescent="0.4">
      <c r="A951" s="2" t="s">
        <v>998</v>
      </c>
      <c r="B951" s="2">
        <f>VALUE(REPLACE(CustomerTable[[#This Row],[Ticket]],1,3,""))</f>
        <v>1213</v>
      </c>
      <c r="C951" s="2" t="s">
        <v>1023</v>
      </c>
      <c r="D951" s="2" t="s">
        <v>2961</v>
      </c>
      <c r="E951" s="2" t="s">
        <v>405</v>
      </c>
      <c r="F951" s="2" t="s">
        <v>398</v>
      </c>
      <c r="G951" s="2" t="str">
        <f>IF(CustomerTable[[#This Row],[Status]]="RESOLVED","Done",IF(CustomerTable[[#This Row],[Status]]="CLOSED","DONE",IF(CustomerTable[[#This Row],[Status]]="DEFERRED","Done","Pending")))</f>
        <v>Done</v>
      </c>
      <c r="H951" s="2" t="s">
        <v>11</v>
      </c>
      <c r="I951" s="2" t="s">
        <v>390</v>
      </c>
      <c r="J951" s="2" t="s">
        <v>1980</v>
      </c>
      <c r="K951" s="16">
        <v>46196</v>
      </c>
      <c r="M951" s="16">
        <v>46202</v>
      </c>
    </row>
    <row r="952" spans="1:13" x14ac:dyDescent="0.4">
      <c r="A952" s="2" t="s">
        <v>999</v>
      </c>
      <c r="B952" s="2">
        <f>VALUE(REPLACE(CustomerTable[[#This Row],[Ticket]],1,3,""))</f>
        <v>1214</v>
      </c>
      <c r="C952" s="2" t="s">
        <v>1023</v>
      </c>
      <c r="D952" s="2" t="s">
        <v>2962</v>
      </c>
      <c r="E952" s="2" t="s">
        <v>399</v>
      </c>
      <c r="F952" s="2" t="s">
        <v>398</v>
      </c>
      <c r="G952" s="2" t="str">
        <f>IF(CustomerTable[[#This Row],[Status]]="RESOLVED","Done",IF(CustomerTable[[#This Row],[Status]]="CLOSED","DONE",IF(CustomerTable[[#This Row],[Status]]="DEFERRED","Done","Pending")))</f>
        <v>Done</v>
      </c>
      <c r="H952" s="2" t="s">
        <v>1028</v>
      </c>
      <c r="I952" s="2" t="s">
        <v>391</v>
      </c>
      <c r="J952" s="2" t="s">
        <v>1981</v>
      </c>
      <c r="K952" s="16">
        <v>46196</v>
      </c>
      <c r="M952" s="16">
        <v>46198</v>
      </c>
    </row>
    <row r="953" spans="1:13" x14ac:dyDescent="0.4">
      <c r="A953" s="2" t="s">
        <v>1000</v>
      </c>
      <c r="B953" s="2">
        <f>VALUE(REPLACE(CustomerTable[[#This Row],[Ticket]],1,3,""))</f>
        <v>1215</v>
      </c>
      <c r="C953" s="2" t="s">
        <v>1023</v>
      </c>
      <c r="D953" s="2" t="s">
        <v>2963</v>
      </c>
      <c r="E953" s="2" t="s">
        <v>405</v>
      </c>
      <c r="F953" s="2" t="s">
        <v>398</v>
      </c>
      <c r="G953" s="2" t="str">
        <f>IF(CustomerTable[[#This Row],[Status]]="RESOLVED","Done",IF(CustomerTable[[#This Row],[Status]]="CLOSED","DONE",IF(CustomerTable[[#This Row],[Status]]="DEFERRED","Done","Pending")))</f>
        <v>Done</v>
      </c>
      <c r="H953" s="2" t="s">
        <v>1028</v>
      </c>
      <c r="I953" s="2" t="s">
        <v>389</v>
      </c>
      <c r="J953" s="2" t="s">
        <v>1982</v>
      </c>
      <c r="K953" s="16">
        <v>46196</v>
      </c>
      <c r="M953" s="16">
        <v>46202</v>
      </c>
    </row>
    <row r="954" spans="1:13" x14ac:dyDescent="0.4">
      <c r="A954" s="2" t="s">
        <v>1001</v>
      </c>
      <c r="B954" s="2">
        <f>VALUE(REPLACE(CustomerTable[[#This Row],[Ticket]],1,3,""))</f>
        <v>1216</v>
      </c>
      <c r="C954" s="2" t="s">
        <v>1023</v>
      </c>
      <c r="D954" s="2" t="s">
        <v>2964</v>
      </c>
      <c r="E954" s="2" t="s">
        <v>405</v>
      </c>
      <c r="F954" s="2" t="s">
        <v>398</v>
      </c>
      <c r="G954" s="2" t="str">
        <f>IF(CustomerTable[[#This Row],[Status]]="RESOLVED","Done",IF(CustomerTable[[#This Row],[Status]]="CLOSED","DONE",IF(CustomerTable[[#This Row],[Status]]="DEFERRED","Done","Pending")))</f>
        <v>Done</v>
      </c>
      <c r="H954" s="2" t="s">
        <v>1028</v>
      </c>
      <c r="I954" s="2" t="s">
        <v>390</v>
      </c>
      <c r="J954" s="2" t="s">
        <v>1983</v>
      </c>
      <c r="K954" s="16">
        <v>46196</v>
      </c>
      <c r="M954" s="16">
        <v>46197</v>
      </c>
    </row>
    <row r="955" spans="1:13" x14ac:dyDescent="0.4">
      <c r="A955" s="2" t="s">
        <v>1002</v>
      </c>
      <c r="B955" s="2">
        <f>VALUE(REPLACE(CustomerTable[[#This Row],[Ticket]],1,3,""))</f>
        <v>1217</v>
      </c>
      <c r="C955" s="2" t="s">
        <v>1023</v>
      </c>
      <c r="D955" s="2" t="s">
        <v>2965</v>
      </c>
      <c r="E955" s="2" t="s">
        <v>405</v>
      </c>
      <c r="F955" s="2" t="s">
        <v>398</v>
      </c>
      <c r="G955" s="2" t="str">
        <f>IF(CustomerTable[[#This Row],[Status]]="RESOLVED","Done",IF(CustomerTable[[#This Row],[Status]]="CLOSED","DONE",IF(CustomerTable[[#This Row],[Status]]="DEFERRED","Done","Pending")))</f>
        <v>Done</v>
      </c>
      <c r="H955" s="2" t="s">
        <v>1034</v>
      </c>
      <c r="I955" s="2" t="s">
        <v>394</v>
      </c>
      <c r="J955" s="2" t="s">
        <v>1984</v>
      </c>
      <c r="K955" s="16">
        <v>46196</v>
      </c>
      <c r="M955" s="16">
        <v>46204</v>
      </c>
    </row>
    <row r="956" spans="1:13" x14ac:dyDescent="0.4">
      <c r="A956" s="2" t="s">
        <v>1003</v>
      </c>
      <c r="B956" s="2">
        <f>VALUE(REPLACE(CustomerTable[[#This Row],[Ticket]],1,3,""))</f>
        <v>1218</v>
      </c>
      <c r="C956" s="2" t="s">
        <v>1023</v>
      </c>
      <c r="D956" s="2" t="s">
        <v>2966</v>
      </c>
      <c r="E956" s="2" t="s">
        <v>405</v>
      </c>
      <c r="F956" s="2" t="s">
        <v>398</v>
      </c>
      <c r="G956" s="2" t="str">
        <f>IF(CustomerTable[[#This Row],[Status]]="RESOLVED","Done",IF(CustomerTable[[#This Row],[Status]]="CLOSED","DONE",IF(CustomerTable[[#This Row],[Status]]="DEFERRED","Done","Pending")))</f>
        <v>Done</v>
      </c>
      <c r="H956" s="2" t="s">
        <v>1028</v>
      </c>
      <c r="I956" s="2" t="s">
        <v>390</v>
      </c>
      <c r="J956" s="2" t="s">
        <v>1985</v>
      </c>
      <c r="K956" s="16">
        <v>46196</v>
      </c>
      <c r="M956" s="16">
        <v>46202</v>
      </c>
    </row>
    <row r="957" spans="1:13" x14ac:dyDescent="0.4">
      <c r="A957" s="2" t="s">
        <v>1004</v>
      </c>
      <c r="B957" s="2">
        <f>VALUE(REPLACE(CustomerTable[[#This Row],[Ticket]],1,3,""))</f>
        <v>1219</v>
      </c>
      <c r="C957" s="2" t="s">
        <v>1023</v>
      </c>
      <c r="D957" s="2" t="s">
        <v>2967</v>
      </c>
      <c r="E957" s="2" t="s">
        <v>405</v>
      </c>
      <c r="F957" s="2" t="s">
        <v>398</v>
      </c>
      <c r="G957" s="2" t="str">
        <f>IF(CustomerTable[[#This Row],[Status]]="RESOLVED","Done",IF(CustomerTable[[#This Row],[Status]]="CLOSED","DONE",IF(CustomerTable[[#This Row],[Status]]="DEFERRED","Done","Pending")))</f>
        <v>Done</v>
      </c>
      <c r="H957" s="2" t="s">
        <v>1028</v>
      </c>
      <c r="I957" s="2" t="s">
        <v>391</v>
      </c>
      <c r="J957" s="2" t="s">
        <v>1986</v>
      </c>
      <c r="K957" s="16">
        <v>46196</v>
      </c>
      <c r="M957" s="16">
        <v>46197</v>
      </c>
    </row>
    <row r="958" spans="1:13" x14ac:dyDescent="0.4">
      <c r="A958" s="2" t="s">
        <v>1005</v>
      </c>
      <c r="B958" s="2">
        <f>VALUE(REPLACE(CustomerTable[[#This Row],[Ticket]],1,3,""))</f>
        <v>1220</v>
      </c>
      <c r="C958" s="2" t="s">
        <v>1023</v>
      </c>
      <c r="D958" s="2" t="s">
        <v>2968</v>
      </c>
      <c r="E958" s="2" t="s">
        <v>405</v>
      </c>
      <c r="F958" s="2" t="s">
        <v>398</v>
      </c>
      <c r="G958" s="2" t="str">
        <f>IF(CustomerTable[[#This Row],[Status]]="RESOLVED","Done",IF(CustomerTable[[#This Row],[Status]]="CLOSED","DONE",IF(CustomerTable[[#This Row],[Status]]="DEFERRED","Done","Pending")))</f>
        <v>Done</v>
      </c>
      <c r="H958" s="2" t="s">
        <v>1028</v>
      </c>
      <c r="I958" s="2" t="s">
        <v>389</v>
      </c>
      <c r="J958" s="2" t="s">
        <v>1987</v>
      </c>
      <c r="K958" s="16">
        <v>46196</v>
      </c>
      <c r="M958" s="16">
        <v>46202</v>
      </c>
    </row>
    <row r="959" spans="1:13" x14ac:dyDescent="0.4">
      <c r="A959" s="2" t="s">
        <v>1006</v>
      </c>
      <c r="B959" s="2">
        <f>VALUE(REPLACE(CustomerTable[[#This Row],[Ticket]],1,3,""))</f>
        <v>1221</v>
      </c>
      <c r="C959" s="2" t="s">
        <v>1024</v>
      </c>
      <c r="D959" s="2" t="s">
        <v>2969</v>
      </c>
      <c r="E959" s="2" t="s">
        <v>405</v>
      </c>
      <c r="F959" s="2" t="s">
        <v>398</v>
      </c>
      <c r="G959" s="2" t="str">
        <f>IF(CustomerTable[[#This Row],[Status]]="RESOLVED","Done",IF(CustomerTable[[#This Row],[Status]]="CLOSED","DONE",IF(CustomerTable[[#This Row],[Status]]="DEFERRED","Done","Pending")))</f>
        <v>Done</v>
      </c>
      <c r="H959" s="2" t="s">
        <v>1034</v>
      </c>
      <c r="I959" s="2" t="s">
        <v>391</v>
      </c>
      <c r="J959" s="2" t="s">
        <v>1988</v>
      </c>
      <c r="K959" s="16">
        <v>46198</v>
      </c>
      <c r="M959" s="16">
        <v>46199</v>
      </c>
    </row>
    <row r="960" spans="1:13" x14ac:dyDescent="0.4">
      <c r="A960" s="2" t="s">
        <v>1007</v>
      </c>
      <c r="B960" s="2">
        <f>VALUE(REPLACE(CustomerTable[[#This Row],[Ticket]],1,3,""))</f>
        <v>1222</v>
      </c>
      <c r="C960" s="2" t="s">
        <v>1024</v>
      </c>
      <c r="D960" s="2" t="s">
        <v>2970</v>
      </c>
      <c r="E960" s="2" t="s">
        <v>405</v>
      </c>
      <c r="F960" s="2" t="s">
        <v>398</v>
      </c>
      <c r="G960" s="2" t="str">
        <f>IF(CustomerTable[[#This Row],[Status]]="RESOLVED","Done",IF(CustomerTable[[#This Row],[Status]]="CLOSED","DONE",IF(CustomerTable[[#This Row],[Status]]="DEFERRED","Done","Pending")))</f>
        <v>Done</v>
      </c>
      <c r="H960" s="2" t="s">
        <v>1034</v>
      </c>
      <c r="I960" s="2" t="s">
        <v>393</v>
      </c>
      <c r="J960" s="2" t="s">
        <v>1989</v>
      </c>
      <c r="K960" s="16">
        <v>46198</v>
      </c>
      <c r="M960" s="16">
        <v>46199</v>
      </c>
    </row>
    <row r="961" spans="1:13" x14ac:dyDescent="0.4">
      <c r="A961" s="2" t="s">
        <v>1008</v>
      </c>
      <c r="B961" s="2">
        <f>VALUE(REPLACE(CustomerTable[[#This Row],[Ticket]],1,3,""))</f>
        <v>1223</v>
      </c>
      <c r="C961" s="2" t="s">
        <v>1024</v>
      </c>
      <c r="D961" s="2" t="s">
        <v>2971</v>
      </c>
      <c r="E961" s="2" t="s">
        <v>405</v>
      </c>
      <c r="F961" s="2" t="s">
        <v>398</v>
      </c>
      <c r="G961" s="2" t="str">
        <f>IF(CustomerTable[[#This Row],[Status]]="RESOLVED","Done",IF(CustomerTable[[#This Row],[Status]]="CLOSED","DONE",IF(CustomerTable[[#This Row],[Status]]="DEFERRED","Done","Pending")))</f>
        <v>Done</v>
      </c>
      <c r="H961" s="2" t="s">
        <v>1029</v>
      </c>
      <c r="I961" s="2" t="s">
        <v>389</v>
      </c>
      <c r="J961" s="2" t="s">
        <v>1990</v>
      </c>
      <c r="K961" s="16">
        <v>46202</v>
      </c>
      <c r="M961" s="16">
        <v>46204</v>
      </c>
    </row>
    <row r="962" spans="1:13" x14ac:dyDescent="0.4">
      <c r="A962" s="2" t="s">
        <v>1010</v>
      </c>
      <c r="B962" s="2">
        <f>VALUE(REPLACE(CustomerTable[[#This Row],[Ticket]],1,3,""))</f>
        <v>1224</v>
      </c>
      <c r="C962" s="2" t="s">
        <v>1023</v>
      </c>
      <c r="D962" s="2" t="s">
        <v>2972</v>
      </c>
      <c r="E962" s="2" t="s">
        <v>405</v>
      </c>
      <c r="F962" s="2" t="s">
        <v>398</v>
      </c>
      <c r="G962" s="2" t="str">
        <f>IF(CustomerTable[[#This Row],[Status]]="RESOLVED","Done",IF(CustomerTable[[#This Row],[Status]]="CLOSED","DONE",IF(CustomerTable[[#This Row],[Status]]="DEFERRED","Done","Pending")))</f>
        <v>Done</v>
      </c>
      <c r="H962" s="2" t="s">
        <v>1028</v>
      </c>
      <c r="I962" s="2" t="s">
        <v>392</v>
      </c>
      <c r="J962" s="2" t="s">
        <v>1991</v>
      </c>
      <c r="K962" s="16">
        <v>46202</v>
      </c>
      <c r="M962" s="16">
        <v>46204</v>
      </c>
    </row>
    <row r="963" spans="1:13" x14ac:dyDescent="0.4">
      <c r="A963" s="2" t="s">
        <v>1011</v>
      </c>
      <c r="B963" s="2">
        <f>VALUE(REPLACE(CustomerTable[[#This Row],[Ticket]],1,3,""))</f>
        <v>1225</v>
      </c>
      <c r="C963" s="2" t="s">
        <v>1023</v>
      </c>
      <c r="D963" s="2" t="s">
        <v>2973</v>
      </c>
      <c r="E963" s="2" t="s">
        <v>405</v>
      </c>
      <c r="F963" s="2" t="s">
        <v>398</v>
      </c>
      <c r="G963" s="2" t="str">
        <f>IF(CustomerTable[[#This Row],[Status]]="RESOLVED","Done",IF(CustomerTable[[#This Row],[Status]]="CLOSED","DONE",IF(CustomerTable[[#This Row],[Status]]="DEFERRED","Done","Pending")))</f>
        <v>Done</v>
      </c>
      <c r="H963" s="2" t="s">
        <v>1028</v>
      </c>
      <c r="I963" s="2" t="s">
        <v>392</v>
      </c>
      <c r="J963" s="2" t="s">
        <v>1992</v>
      </c>
      <c r="K963" s="16">
        <v>46204</v>
      </c>
      <c r="M963" s="16">
        <v>46206</v>
      </c>
    </row>
    <row r="964" spans="1:13" x14ac:dyDescent="0.4">
      <c r="A964" s="2" t="s">
        <v>1012</v>
      </c>
      <c r="B964" s="2">
        <f>VALUE(REPLACE(CustomerTable[[#This Row],[Ticket]],1,3,""))</f>
        <v>1226</v>
      </c>
      <c r="C964" s="2" t="s">
        <v>1023</v>
      </c>
      <c r="D964" s="2" t="s">
        <v>2974</v>
      </c>
      <c r="E964" s="2" t="s">
        <v>405</v>
      </c>
      <c r="F964" s="2" t="s">
        <v>398</v>
      </c>
      <c r="G964" s="2" t="str">
        <f>IF(CustomerTable[[#This Row],[Status]]="RESOLVED","Done",IF(CustomerTable[[#This Row],[Status]]="CLOSED","DONE",IF(CustomerTable[[#This Row],[Status]]="DEFERRED","Done","Pending")))</f>
        <v>Done</v>
      </c>
      <c r="H964" s="2" t="s">
        <v>11</v>
      </c>
      <c r="I964" s="2" t="s">
        <v>388</v>
      </c>
      <c r="J964" s="2" t="s">
        <v>1993</v>
      </c>
      <c r="K964" s="16">
        <v>46204</v>
      </c>
      <c r="M964" s="16">
        <v>46204</v>
      </c>
    </row>
    <row r="965" spans="1:13" x14ac:dyDescent="0.4">
      <c r="A965" s="2" t="s">
        <v>1013</v>
      </c>
      <c r="B965" s="2">
        <f>VALUE(REPLACE(CustomerTable[[#This Row],[Ticket]],1,3,""))</f>
        <v>1227</v>
      </c>
      <c r="C965" s="2" t="s">
        <v>1023</v>
      </c>
      <c r="D965" s="2" t="s">
        <v>2975</v>
      </c>
      <c r="E965" s="2" t="s">
        <v>399</v>
      </c>
      <c r="F965" s="2" t="s">
        <v>398</v>
      </c>
      <c r="G965" s="2" t="str">
        <f>IF(CustomerTable[[#This Row],[Status]]="RESOLVED","Done",IF(CustomerTable[[#This Row],[Status]]="CLOSED","DONE",IF(CustomerTable[[#This Row],[Status]]="DEFERRED","Done","Pending")))</f>
        <v>Done</v>
      </c>
      <c r="H965" s="2" t="s">
        <v>1028</v>
      </c>
      <c r="I965" s="2" t="s">
        <v>392</v>
      </c>
      <c r="J965" s="2" t="s">
        <v>1994</v>
      </c>
      <c r="K965" s="16">
        <v>46205</v>
      </c>
      <c r="M965" s="16">
        <v>46209</v>
      </c>
    </row>
    <row r="966" spans="1:13" x14ac:dyDescent="0.4">
      <c r="A966" s="2" t="s">
        <v>1014</v>
      </c>
      <c r="B966" s="2">
        <f>VALUE(REPLACE(CustomerTable[[#This Row],[Ticket]],1,3,""))</f>
        <v>1228</v>
      </c>
      <c r="C966" s="2" t="s">
        <v>1024</v>
      </c>
      <c r="D966" s="2" t="s">
        <v>2976</v>
      </c>
      <c r="E966" s="2" t="s">
        <v>405</v>
      </c>
      <c r="F966" s="2" t="s">
        <v>397</v>
      </c>
      <c r="G966" s="2" t="str">
        <f>IF(CustomerTable[[#This Row],[Status]]="RESOLVED","Done",IF(CustomerTable[[#This Row],[Status]]="CLOSED","DONE",IF(CustomerTable[[#This Row],[Status]]="DEFERRED","Done","Pending")))</f>
        <v>Pending</v>
      </c>
      <c r="H966" s="2" t="s">
        <v>1029</v>
      </c>
      <c r="I966" s="2" t="s">
        <v>395</v>
      </c>
      <c r="J966" s="2" t="s">
        <v>1995</v>
      </c>
      <c r="K966" s="16">
        <v>46205</v>
      </c>
      <c r="M966" s="16"/>
    </row>
    <row r="967" spans="1:13" x14ac:dyDescent="0.4">
      <c r="A967" s="2" t="s">
        <v>1015</v>
      </c>
      <c r="B967" s="2">
        <f>VALUE(REPLACE(CustomerTable[[#This Row],[Ticket]],1,3,""))</f>
        <v>1229</v>
      </c>
      <c r="C967" s="2" t="s">
        <v>1023</v>
      </c>
      <c r="D967" s="2" t="s">
        <v>2977</v>
      </c>
      <c r="E967" s="2" t="s">
        <v>399</v>
      </c>
      <c r="F967" s="2" t="s">
        <v>396</v>
      </c>
      <c r="G967" s="2" t="str">
        <f>IF(CustomerTable[[#This Row],[Status]]="RESOLVED","Done",IF(CustomerTable[[#This Row],[Status]]="CLOSED","DONE",IF(CustomerTable[[#This Row],[Status]]="DEFERRED","Done","Pending")))</f>
        <v>Pending</v>
      </c>
      <c r="H967" s="2" t="s">
        <v>1028</v>
      </c>
      <c r="I967" s="2" t="s">
        <v>395</v>
      </c>
      <c r="J967" s="2" t="s">
        <v>1996</v>
      </c>
      <c r="K967" s="16">
        <v>46209</v>
      </c>
      <c r="M967" s="16"/>
    </row>
    <row r="968" spans="1:13" x14ac:dyDescent="0.4">
      <c r="A968" s="2" t="s">
        <v>1016</v>
      </c>
      <c r="B968" s="2">
        <f>VALUE(REPLACE(CustomerTable[[#This Row],[Ticket]],1,3,""))</f>
        <v>1230</v>
      </c>
      <c r="C968" s="2" t="s">
        <v>1023</v>
      </c>
      <c r="D968" s="2" t="s">
        <v>2978</v>
      </c>
      <c r="E968" s="2" t="s">
        <v>399</v>
      </c>
      <c r="F968" s="2" t="s">
        <v>397</v>
      </c>
      <c r="G968" s="2" t="str">
        <f>IF(CustomerTable[[#This Row],[Status]]="RESOLVED","Done",IF(CustomerTable[[#This Row],[Status]]="CLOSED","DONE",IF(CustomerTable[[#This Row],[Status]]="DEFERRED","Done","Pending")))</f>
        <v>Pending</v>
      </c>
      <c r="H968" s="2" t="s">
        <v>1028</v>
      </c>
      <c r="I968" s="2" t="s">
        <v>389</v>
      </c>
      <c r="J968" s="2" t="s">
        <v>1997</v>
      </c>
      <c r="K968" s="16">
        <v>46209</v>
      </c>
      <c r="M968" s="16"/>
    </row>
    <row r="969" spans="1:13" x14ac:dyDescent="0.4">
      <c r="A969" s="2" t="s">
        <v>1017</v>
      </c>
      <c r="B969" s="2">
        <f>VALUE(REPLACE(CustomerTable[[#This Row],[Ticket]],1,3,""))</f>
        <v>1231</v>
      </c>
      <c r="C969" s="2" t="s">
        <v>1023</v>
      </c>
      <c r="D969" s="2" t="s">
        <v>2979</v>
      </c>
      <c r="E969" s="2" t="s">
        <v>400</v>
      </c>
      <c r="F969" s="2" t="s">
        <v>397</v>
      </c>
      <c r="G969" s="2" t="str">
        <f>IF(CustomerTable[[#This Row],[Status]]="RESOLVED","Done",IF(CustomerTable[[#This Row],[Status]]="CLOSED","DONE",IF(CustomerTable[[#This Row],[Status]]="DEFERRED","Done","Pending")))</f>
        <v>Pending</v>
      </c>
      <c r="H969" s="2" t="s">
        <v>1028</v>
      </c>
      <c r="I969" s="2" t="s">
        <v>390</v>
      </c>
      <c r="J969" s="2" t="s">
        <v>1998</v>
      </c>
      <c r="K969" s="16">
        <v>46209</v>
      </c>
      <c r="M969" s="16"/>
    </row>
    <row r="970" spans="1:13" x14ac:dyDescent="0.4">
      <c r="A970" s="2" t="s">
        <v>1018</v>
      </c>
      <c r="B970" s="2">
        <f>VALUE(REPLACE(CustomerTable[[#This Row],[Ticket]],1,3,""))</f>
        <v>1232</v>
      </c>
      <c r="C970" s="2" t="s">
        <v>1023</v>
      </c>
      <c r="D970" s="2" t="s">
        <v>2980</v>
      </c>
      <c r="E970" s="2" t="s">
        <v>399</v>
      </c>
      <c r="F970" s="2" t="s">
        <v>397</v>
      </c>
      <c r="G970" s="2" t="str">
        <f>IF(CustomerTable[[#This Row],[Status]]="RESOLVED","Done",IF(CustomerTable[[#This Row],[Status]]="CLOSED","DONE",IF(CustomerTable[[#This Row],[Status]]="DEFERRED","Done","Pending")))</f>
        <v>Pending</v>
      </c>
      <c r="H970" s="2" t="s">
        <v>1028</v>
      </c>
      <c r="I970" s="2" t="s">
        <v>392</v>
      </c>
      <c r="J970" s="2" t="s">
        <v>1999</v>
      </c>
      <c r="K970" s="16">
        <v>46210</v>
      </c>
      <c r="M970" s="16"/>
    </row>
    <row r="971" spans="1:13" x14ac:dyDescent="0.4">
      <c r="A971" s="2" t="s">
        <v>1019</v>
      </c>
      <c r="B971" s="2">
        <f>VALUE(REPLACE(CustomerTable[[#This Row],[Ticket]],1,3,""))</f>
        <v>1233</v>
      </c>
      <c r="C971" s="2" t="s">
        <v>1023</v>
      </c>
      <c r="D971" s="2" t="s">
        <v>2981</v>
      </c>
      <c r="E971" s="2" t="s">
        <v>405</v>
      </c>
      <c r="F971" s="2" t="s">
        <v>397</v>
      </c>
      <c r="G971" s="2" t="str">
        <f>IF(CustomerTable[[#This Row],[Status]]="RESOLVED","Done",IF(CustomerTable[[#This Row],[Status]]="CLOSED","DONE",IF(CustomerTable[[#This Row],[Status]]="DEFERRED","Done","Pending")))</f>
        <v>Pending</v>
      </c>
      <c r="H971" s="2" t="s">
        <v>11</v>
      </c>
      <c r="I971" s="2" t="s">
        <v>392</v>
      </c>
      <c r="J971" s="2" t="s">
        <v>2000</v>
      </c>
      <c r="K971" s="16">
        <v>46210</v>
      </c>
      <c r="M971" s="16"/>
    </row>
    <row r="972" spans="1:13" x14ac:dyDescent="0.4">
      <c r="A972" s="2" t="s">
        <v>1020</v>
      </c>
      <c r="B972" s="2">
        <f>VALUE(REPLACE(CustomerTable[[#This Row],[Ticket]],1,3,""))</f>
        <v>1234</v>
      </c>
      <c r="C972" s="2" t="s">
        <v>1023</v>
      </c>
      <c r="D972" s="2" t="s">
        <v>2982</v>
      </c>
      <c r="E972" s="2" t="s">
        <v>399</v>
      </c>
      <c r="F972" s="2" t="s">
        <v>397</v>
      </c>
      <c r="G972" s="2" t="str">
        <f>IF(CustomerTable[[#This Row],[Status]]="RESOLVED","Done",IF(CustomerTable[[#This Row],[Status]]="CLOSED","DONE",IF(CustomerTable[[#This Row],[Status]]="DEFERRED","Done","Pending")))</f>
        <v>Pending</v>
      </c>
      <c r="H972" s="2" t="s">
        <v>11</v>
      </c>
      <c r="I972" s="2" t="s">
        <v>395</v>
      </c>
      <c r="J972" s="2" t="s">
        <v>2001</v>
      </c>
      <c r="K972" s="16">
        <v>46210</v>
      </c>
      <c r="M972" s="16"/>
    </row>
    <row r="973" spans="1:13" x14ac:dyDescent="0.4">
      <c r="A973" s="2" t="s">
        <v>1021</v>
      </c>
      <c r="B973" s="2">
        <f>VALUE(REPLACE(CustomerTable[[#This Row],[Ticket]],1,3,""))</f>
        <v>1235</v>
      </c>
      <c r="C973" s="2" t="s">
        <v>1023</v>
      </c>
      <c r="D973" s="2" t="s">
        <v>2983</v>
      </c>
      <c r="E973" s="2" t="s">
        <v>405</v>
      </c>
      <c r="F973" s="2" t="s">
        <v>398</v>
      </c>
      <c r="G973" s="2" t="str">
        <f>IF(CustomerTable[[#This Row],[Status]]="RESOLVED","Done",IF(CustomerTable[[#This Row],[Status]]="CLOSED","DONE",IF(CustomerTable[[#This Row],[Status]]="DEFERRED","Done","Pending")))</f>
        <v>Done</v>
      </c>
      <c r="H973" s="2" t="s">
        <v>11</v>
      </c>
      <c r="I973" s="2" t="s">
        <v>388</v>
      </c>
      <c r="J973" s="2" t="s">
        <v>2002</v>
      </c>
      <c r="K973" s="16">
        <v>46210</v>
      </c>
      <c r="M973" s="16">
        <v>46210</v>
      </c>
    </row>
    <row r="974" spans="1:13" x14ac:dyDescent="0.4">
      <c r="A974" s="2" t="s">
        <v>1022</v>
      </c>
      <c r="B974" s="2">
        <f>VALUE(REPLACE(CustomerTable[[#This Row],[Ticket]],1,3,""))</f>
        <v>1236</v>
      </c>
      <c r="C974" s="2" t="s">
        <v>1023</v>
      </c>
      <c r="D974" s="2" t="s">
        <v>2984</v>
      </c>
      <c r="E974" s="2" t="s">
        <v>399</v>
      </c>
      <c r="F974" s="2" t="s">
        <v>396</v>
      </c>
      <c r="G974" s="2" t="str">
        <f>IF(CustomerTable[[#This Row],[Status]]="RESOLVED","Done",IF(CustomerTable[[#This Row],[Status]]="CLOSED","DONE",IF(CustomerTable[[#This Row],[Status]]="DEFERRED","Done","Pending")))</f>
        <v>Pending</v>
      </c>
      <c r="H974" s="2" t="s">
        <v>1028</v>
      </c>
      <c r="I974" s="2" t="s">
        <v>389</v>
      </c>
      <c r="J974" s="2" t="s">
        <v>2003</v>
      </c>
      <c r="K974" s="16">
        <v>46210</v>
      </c>
      <c r="M974" s="16"/>
    </row>
    <row r="976" spans="1:13" x14ac:dyDescent="0.4">
      <c r="M976" s="16"/>
    </row>
  </sheetData>
  <phoneticPr fontId="4" type="noConversion"/>
  <conditionalFormatting sqref="D1:D3 D975:D1048576">
    <cfRule type="containsText" dxfId="130" priority="15" operator="containsText" text="Surmount">
      <formula>NOT(ISERROR(SEARCH("Surmount",D1)))</formula>
    </cfRule>
    <cfRule type="containsText" dxfId="129" priority="17" operator="containsText" text="Quantbase">
      <formula>NOT(ISERROR(SEARCH("Quantbase",D1)))</formula>
    </cfRule>
  </conditionalFormatting>
  <conditionalFormatting sqref="E6:E974">
    <cfRule type="containsText" dxfId="128" priority="7" operator="containsText" text="CRITICAL">
      <formula>NOT(ISERROR(SEARCH("CRITICAL",E6)))</formula>
    </cfRule>
    <cfRule type="containsText" dxfId="127" priority="12" operator="containsText" text="LOW">
      <formula>NOT(ISERROR(SEARCH("LOW",E6)))</formula>
    </cfRule>
    <cfRule type="containsText" dxfId="126" priority="13" operator="containsText" text="HIGH">
      <formula>NOT(ISERROR(SEARCH("HIGH",E6)))</formula>
    </cfRule>
    <cfRule type="containsText" dxfId="125" priority="14" operator="containsText" text="CRITICAL">
      <formula>NOT(ISERROR(SEARCH("CRITICAL",E6)))</formula>
    </cfRule>
  </conditionalFormatting>
  <conditionalFormatting sqref="F6:H974">
    <cfRule type="containsText" dxfId="124" priority="5" operator="containsText" text="UPDATED">
      <formula>NOT(ISERROR(SEARCH("UPDATED",F6)))</formula>
    </cfRule>
    <cfRule type="containsText" dxfId="123" priority="6" operator="containsText" text="RESOLVED">
      <formula>NOT(ISERROR(SEARCH("RESOLVED",F6)))</formula>
    </cfRule>
    <cfRule type="containsText" dxfId="122" priority="8" operator="containsText" text="UN TOUCHED">
      <formula>NOT(ISERROR(SEARCH("UN TOUCHED",F6)))</formula>
    </cfRule>
    <cfRule type="containsText" dxfId="121" priority="9" operator="containsText" text="IN PROGRESS">
      <formula>NOT(ISERROR(SEARCH("IN PROGRESS",F6)))</formula>
    </cfRule>
    <cfRule type="containsText" dxfId="120" priority="10" operator="containsText" text="ESCALATED">
      <formula>NOT(ISERROR(SEARCH("ESCALATED",F6)))</formula>
    </cfRule>
    <cfRule type="containsText" dxfId="119" priority="11" operator="containsText" text="RESOLVED">
      <formula>NOT(ISERROR(SEARCH("RESOLVED",F6)))</formula>
    </cfRule>
  </conditionalFormatting>
  <conditionalFormatting sqref="C6:C974">
    <cfRule type="containsText" dxfId="118" priority="3" operator="containsText" text="Company Y">
      <formula>NOT(ISERROR(SEARCH("Company Y",C6)))</formula>
    </cfRule>
    <cfRule type="containsText" dxfId="117" priority="4" stopIfTrue="1" operator="containsText" text="Company X">
      <formula>NOT(ISERROR(SEARCH("Company X",C6)))</formula>
    </cfRule>
  </conditionalFormatting>
  <conditionalFormatting sqref="G6:G974">
    <cfRule type="containsText" dxfId="116" priority="1" operator="containsText" text="Unresolved">
      <formula>NOT(ISERROR(SEARCH("Unresolved",G6)))</formula>
    </cfRule>
  </conditionalFormatting>
  <conditionalFormatting sqref="A6:A974">
    <cfRule type="duplicateValues" dxfId="115" priority="967"/>
  </conditionalFormatting>
  <dataValidations count="3">
    <dataValidation type="list" allowBlank="1" showInputMessage="1" showErrorMessage="1" sqref="D975:D1048576" xr:uid="{84A8D1ED-07E4-4C8B-AD78-6881BEE84FC0}">
      <formula1>"Quantbase, Surmount,                    ,  "</formula1>
    </dataValidation>
    <dataValidation type="list" allowBlank="1" showInputMessage="1" showErrorMessage="1" sqref="E6:E974" xr:uid="{EF8A798F-90FA-48C1-93FD-D1B2894051CC}">
      <formula1>"CRITICAL, HIGH, LOW"</formula1>
    </dataValidation>
    <dataValidation type="list" allowBlank="1" showInputMessage="1" showErrorMessage="1" sqref="C6:C974" xr:uid="{7D6A49E4-6CC4-4591-A33F-FE02BCA489AB}">
      <formula1>"Company X, Company Y"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3CEC357-FF8C-40AE-971D-C37C68B0010E}">
          <x14:formula1>
            <xm:f>Category_Map!$H$1:$H$8</xm:f>
          </x14:formula1>
          <xm:sqref>G975:G1048576 I5:I894 I914:I974 I896:I912</xm:sqref>
        </x14:dataValidation>
        <x14:dataValidation type="list" allowBlank="1" showInputMessage="1" showErrorMessage="1" xr:uid="{B153E4D7-8A98-4645-8196-6609796F9C13}">
          <x14:formula1>
            <xm:f>Category_Map!$F$1:$F$7</xm:f>
          </x14:formula1>
          <xm:sqref>F5:F1048576</xm:sqref>
        </x14:dataValidation>
        <x14:dataValidation type="list" allowBlank="1" showInputMessage="1" showErrorMessage="1" xr:uid="{184E57A2-174F-4641-B090-C66566A7D232}">
          <x14:formula1>
            <xm:f>Category_Map!$D$2:$D$12</xm:f>
          </x14:formula1>
          <xm:sqref>H6:H974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1C30C-961B-4013-9955-FC375890095B}">
  <sheetPr codeName="Sheet3"/>
  <dimension ref="A1:P148"/>
  <sheetViews>
    <sheetView topLeftCell="A85" zoomScale="81" zoomScaleNormal="81" workbookViewId="0">
      <selection activeCell="C93" sqref="C93"/>
    </sheetView>
  </sheetViews>
  <sheetFormatPr defaultRowHeight="13.2" x14ac:dyDescent="0.25"/>
  <cols>
    <col min="1" max="1" width="11.33203125" bestFit="1" customWidth="1"/>
    <col min="2" max="3" width="15.6640625" bestFit="1" customWidth="1"/>
    <col min="4" max="6" width="17.88671875" bestFit="1" customWidth="1"/>
    <col min="7" max="17" width="7.21875" bestFit="1" customWidth="1"/>
    <col min="18" max="18" width="18.5546875" bestFit="1" customWidth="1"/>
    <col min="19" max="23" width="7.21875" bestFit="1" customWidth="1"/>
    <col min="24" max="24" width="6.21875" bestFit="1" customWidth="1"/>
    <col min="25" max="64" width="7.21875" bestFit="1" customWidth="1"/>
    <col min="65" max="65" width="6.21875" bestFit="1" customWidth="1"/>
    <col min="66" max="75" width="7.21875" bestFit="1" customWidth="1"/>
    <col min="76" max="76" width="6.21875" bestFit="1" customWidth="1"/>
    <col min="77" max="86" width="7.21875" bestFit="1" customWidth="1"/>
    <col min="87" max="87" width="6.21875" bestFit="1" customWidth="1"/>
    <col min="88" max="97" width="7.21875" bestFit="1" customWidth="1"/>
    <col min="98" max="98" width="6.21875" bestFit="1" customWidth="1"/>
    <col min="99" max="108" width="7.21875" bestFit="1" customWidth="1"/>
    <col min="109" max="109" width="6.21875" bestFit="1" customWidth="1"/>
    <col min="110" max="119" width="7.21875" bestFit="1" customWidth="1"/>
    <col min="120" max="120" width="6.21875" bestFit="1" customWidth="1"/>
    <col min="121" max="130" width="7.21875" bestFit="1" customWidth="1"/>
    <col min="131" max="131" width="6.21875" bestFit="1" customWidth="1"/>
    <col min="132" max="161" width="7.21875" bestFit="1" customWidth="1"/>
    <col min="162" max="162" width="6.21875" bestFit="1" customWidth="1"/>
    <col min="163" max="172" width="7.21875" bestFit="1" customWidth="1"/>
    <col min="173" max="173" width="6.21875" bestFit="1" customWidth="1"/>
    <col min="174" max="193" width="7.21875" bestFit="1" customWidth="1"/>
    <col min="194" max="194" width="6.21875" bestFit="1" customWidth="1"/>
    <col min="195" max="204" width="7.21875" bestFit="1" customWidth="1"/>
    <col min="205" max="205" width="6.21875" bestFit="1" customWidth="1"/>
    <col min="206" max="235" width="7.21875" bestFit="1" customWidth="1"/>
    <col min="236" max="236" width="6.21875" bestFit="1" customWidth="1"/>
    <col min="237" max="246" width="7.21875" bestFit="1" customWidth="1"/>
    <col min="247" max="247" width="6.21875" bestFit="1" customWidth="1"/>
    <col min="248" max="257" width="7.21875" bestFit="1" customWidth="1"/>
    <col min="258" max="258" width="6.21875" bestFit="1" customWidth="1"/>
    <col min="259" max="278" width="7.21875" bestFit="1" customWidth="1"/>
    <col min="279" max="279" width="6.21875" bestFit="1" customWidth="1"/>
    <col min="280" max="299" width="7.21875" bestFit="1" customWidth="1"/>
    <col min="300" max="300" width="6.21875" bestFit="1" customWidth="1"/>
    <col min="301" max="310" width="7.21875" bestFit="1" customWidth="1"/>
    <col min="311" max="311" width="6.21875" bestFit="1" customWidth="1"/>
    <col min="312" max="321" width="7.21875" bestFit="1" customWidth="1"/>
    <col min="322" max="322" width="5.21875" bestFit="1" customWidth="1"/>
    <col min="323" max="323" width="6.21875" bestFit="1" customWidth="1"/>
    <col min="324" max="333" width="7.21875" bestFit="1" customWidth="1"/>
    <col min="334" max="334" width="6.21875" bestFit="1" customWidth="1"/>
    <col min="335" max="344" width="7.21875" bestFit="1" customWidth="1"/>
    <col min="345" max="345" width="6.21875" bestFit="1" customWidth="1"/>
    <col min="346" max="355" width="7.21875" bestFit="1" customWidth="1"/>
    <col min="356" max="356" width="6.21875" bestFit="1" customWidth="1"/>
    <col min="357" max="366" width="7.21875" bestFit="1" customWidth="1"/>
    <col min="367" max="367" width="6.21875" bestFit="1" customWidth="1"/>
    <col min="368" max="377" width="7.21875" bestFit="1" customWidth="1"/>
    <col min="378" max="378" width="6.21875" bestFit="1" customWidth="1"/>
    <col min="379" max="388" width="7.21875" bestFit="1" customWidth="1"/>
    <col min="389" max="389" width="6.21875" bestFit="1" customWidth="1"/>
    <col min="390" max="399" width="7.21875" bestFit="1" customWidth="1"/>
    <col min="400" max="400" width="6.21875" bestFit="1" customWidth="1"/>
    <col min="401" max="410" width="7.21875" bestFit="1" customWidth="1"/>
    <col min="411" max="411" width="6.21875" bestFit="1" customWidth="1"/>
    <col min="412" max="421" width="7.21875" bestFit="1" customWidth="1"/>
    <col min="422" max="422" width="6.21875" bestFit="1" customWidth="1"/>
    <col min="423" max="432" width="7.21875" bestFit="1" customWidth="1"/>
    <col min="433" max="433" width="6.21875" bestFit="1" customWidth="1"/>
    <col min="434" max="443" width="7.21875" bestFit="1" customWidth="1"/>
    <col min="444" max="444" width="6.21875" bestFit="1" customWidth="1"/>
    <col min="445" max="454" width="7.21875" bestFit="1" customWidth="1"/>
    <col min="455" max="455" width="6.21875" bestFit="1" customWidth="1"/>
    <col min="456" max="465" width="7.21875" bestFit="1" customWidth="1"/>
    <col min="466" max="466" width="6.21875" bestFit="1" customWidth="1"/>
    <col min="467" max="476" width="7.21875" bestFit="1" customWidth="1"/>
    <col min="477" max="477" width="6.21875" bestFit="1" customWidth="1"/>
    <col min="478" max="487" width="7.21875" bestFit="1" customWidth="1"/>
    <col min="488" max="488" width="6.21875" bestFit="1" customWidth="1"/>
    <col min="489" max="498" width="7.21875" bestFit="1" customWidth="1"/>
    <col min="499" max="499" width="6.21875" bestFit="1" customWidth="1"/>
    <col min="500" max="509" width="7.21875" bestFit="1" customWidth="1"/>
    <col min="510" max="510" width="6.21875" bestFit="1" customWidth="1"/>
    <col min="511" max="520" width="7.21875" bestFit="1" customWidth="1"/>
    <col min="521" max="521" width="6.21875" bestFit="1" customWidth="1"/>
    <col min="522" max="531" width="7.21875" bestFit="1" customWidth="1"/>
    <col min="532" max="532" width="6.21875" bestFit="1" customWidth="1"/>
    <col min="533" max="542" width="7.21875" bestFit="1" customWidth="1"/>
    <col min="543" max="543" width="6.21875" bestFit="1" customWidth="1"/>
    <col min="544" max="553" width="7.21875" bestFit="1" customWidth="1"/>
    <col min="554" max="554" width="6.21875" bestFit="1" customWidth="1"/>
    <col min="555" max="564" width="7.21875" bestFit="1" customWidth="1"/>
    <col min="565" max="565" width="6.21875" bestFit="1" customWidth="1"/>
    <col min="566" max="575" width="7.21875" bestFit="1" customWidth="1"/>
    <col min="576" max="576" width="6.21875" bestFit="1" customWidth="1"/>
    <col min="577" max="586" width="7.21875" bestFit="1" customWidth="1"/>
    <col min="587" max="587" width="6.21875" bestFit="1" customWidth="1"/>
    <col min="588" max="597" width="7.21875" bestFit="1" customWidth="1"/>
    <col min="598" max="598" width="6.21875" bestFit="1" customWidth="1"/>
    <col min="599" max="608" width="7.21875" bestFit="1" customWidth="1"/>
    <col min="609" max="609" width="6.21875" bestFit="1" customWidth="1"/>
    <col min="610" max="619" width="7.21875" bestFit="1" customWidth="1"/>
    <col min="620" max="620" width="6.21875" bestFit="1" customWidth="1"/>
    <col min="621" max="630" width="7.21875" bestFit="1" customWidth="1"/>
    <col min="631" max="631" width="6.21875" bestFit="1" customWidth="1"/>
    <col min="632" max="641" width="7.21875" bestFit="1" customWidth="1"/>
    <col min="642" max="642" width="6.21875" bestFit="1" customWidth="1"/>
    <col min="643" max="652" width="7.21875" bestFit="1" customWidth="1"/>
    <col min="653" max="653" width="6.21875" bestFit="1" customWidth="1"/>
    <col min="654" max="663" width="7.21875" bestFit="1" customWidth="1"/>
    <col min="664" max="664" width="6.21875" bestFit="1" customWidth="1"/>
    <col min="665" max="674" width="7.21875" bestFit="1" customWidth="1"/>
    <col min="675" max="675" width="6.21875" bestFit="1" customWidth="1"/>
    <col min="676" max="685" width="7.21875" bestFit="1" customWidth="1"/>
    <col min="686" max="686" width="6.21875" bestFit="1" customWidth="1"/>
    <col min="687" max="696" width="7.21875" bestFit="1" customWidth="1"/>
    <col min="697" max="697" width="6.21875" bestFit="1" customWidth="1"/>
    <col min="698" max="707" width="7.21875" bestFit="1" customWidth="1"/>
    <col min="708" max="708" width="6.21875" bestFit="1" customWidth="1"/>
    <col min="709" max="718" width="7.21875" bestFit="1" customWidth="1"/>
    <col min="719" max="719" width="6.21875" bestFit="1" customWidth="1"/>
    <col min="720" max="729" width="7.21875" bestFit="1" customWidth="1"/>
    <col min="730" max="730" width="6.21875" bestFit="1" customWidth="1"/>
    <col min="731" max="740" width="7.21875" bestFit="1" customWidth="1"/>
    <col min="741" max="741" width="6.21875" bestFit="1" customWidth="1"/>
    <col min="742" max="751" width="7.21875" bestFit="1" customWidth="1"/>
    <col min="752" max="752" width="6.21875" bestFit="1" customWidth="1"/>
    <col min="753" max="762" width="7.21875" bestFit="1" customWidth="1"/>
    <col min="763" max="763" width="6.21875" bestFit="1" customWidth="1"/>
    <col min="764" max="773" width="7.21875" bestFit="1" customWidth="1"/>
    <col min="774" max="774" width="6.21875" bestFit="1" customWidth="1"/>
    <col min="775" max="784" width="7.21875" bestFit="1" customWidth="1"/>
    <col min="785" max="785" width="6.21875" bestFit="1" customWidth="1"/>
    <col min="786" max="795" width="7.21875" bestFit="1" customWidth="1"/>
    <col min="796" max="796" width="6.21875" bestFit="1" customWidth="1"/>
    <col min="797" max="806" width="7.21875" bestFit="1" customWidth="1"/>
    <col min="807" max="807" width="6.21875" bestFit="1" customWidth="1"/>
    <col min="808" max="817" width="7.21875" bestFit="1" customWidth="1"/>
    <col min="818" max="818" width="6.21875" bestFit="1" customWidth="1"/>
    <col min="819" max="828" width="7.21875" bestFit="1" customWidth="1"/>
    <col min="829" max="829" width="6.21875" bestFit="1" customWidth="1"/>
    <col min="830" max="839" width="7.21875" bestFit="1" customWidth="1"/>
    <col min="840" max="840" width="6.21875" bestFit="1" customWidth="1"/>
    <col min="841" max="850" width="7.21875" bestFit="1" customWidth="1"/>
    <col min="851" max="851" width="6.21875" bestFit="1" customWidth="1"/>
    <col min="852" max="861" width="7.21875" bestFit="1" customWidth="1"/>
    <col min="862" max="862" width="6.21875" bestFit="1" customWidth="1"/>
    <col min="863" max="872" width="7.21875" bestFit="1" customWidth="1"/>
    <col min="873" max="873" width="6.21875" bestFit="1" customWidth="1"/>
    <col min="874" max="879" width="7.21875" bestFit="1" customWidth="1"/>
    <col min="880" max="888" width="6.21875" bestFit="1" customWidth="1"/>
    <col min="889" max="889" width="11.33203125" bestFit="1" customWidth="1"/>
  </cols>
  <sheetData>
    <row r="1" spans="1:6" ht="13.8" thickBot="1" x14ac:dyDescent="0.3">
      <c r="A1" s="38" t="s">
        <v>416</v>
      </c>
      <c r="B1" s="39"/>
      <c r="C1" s="40"/>
    </row>
    <row r="2" spans="1:6" ht="13.8" thickBot="1" x14ac:dyDescent="0.3">
      <c r="A2" s="12" t="s">
        <v>402</v>
      </c>
      <c r="B2" t="s">
        <v>417</v>
      </c>
      <c r="C2" s="6"/>
    </row>
    <row r="3" spans="1:6" ht="13.8" thickBot="1" x14ac:dyDescent="0.3">
      <c r="A3" s="50">
        <v>969</v>
      </c>
      <c r="B3" s="8">
        <f>GETPIVOTDATA("Ticket",$A$2)</f>
        <v>969</v>
      </c>
      <c r="C3" s="9"/>
    </row>
    <row r="5" spans="1:6" ht="13.8" thickBot="1" x14ac:dyDescent="0.3"/>
    <row r="6" spans="1:6" ht="13.8" thickBot="1" x14ac:dyDescent="0.3">
      <c r="A6" s="18" t="s">
        <v>2</v>
      </c>
      <c r="B6" s="19" t="s">
        <v>536</v>
      </c>
      <c r="C6" s="20"/>
      <c r="D6" s="20"/>
      <c r="E6" s="20"/>
      <c r="F6" s="21"/>
    </row>
    <row r="7" spans="1:6" ht="13.8" thickBot="1" x14ac:dyDescent="0.3">
      <c r="A7" s="5"/>
      <c r="F7" s="6"/>
    </row>
    <row r="8" spans="1:6" ht="13.8" thickBot="1" x14ac:dyDescent="0.3">
      <c r="A8" s="14" t="s">
        <v>385</v>
      </c>
      <c r="B8" s="12" t="s">
        <v>402</v>
      </c>
      <c r="F8" s="6"/>
    </row>
    <row r="9" spans="1:6" x14ac:dyDescent="0.25">
      <c r="A9" s="10" t="s">
        <v>400</v>
      </c>
      <c r="B9" s="48">
        <v>5</v>
      </c>
      <c r="F9" s="6"/>
    </row>
    <row r="10" spans="1:6" x14ac:dyDescent="0.25">
      <c r="A10" s="13" t="s">
        <v>399</v>
      </c>
      <c r="B10" s="53">
        <v>5</v>
      </c>
      <c r="F10" s="6"/>
    </row>
    <row r="11" spans="1:6" ht="13.8" thickBot="1" x14ac:dyDescent="0.3">
      <c r="A11" s="11" t="s">
        <v>405</v>
      </c>
      <c r="B11" s="53">
        <v>4</v>
      </c>
      <c r="F11" s="6"/>
    </row>
    <row r="12" spans="1:6" ht="13.8" thickBot="1" x14ac:dyDescent="0.3">
      <c r="A12" s="12" t="s">
        <v>401</v>
      </c>
      <c r="B12" s="49">
        <v>14</v>
      </c>
      <c r="F12" s="6"/>
    </row>
    <row r="13" spans="1:6" x14ac:dyDescent="0.25">
      <c r="A13" s="5"/>
      <c r="F13" s="6"/>
    </row>
    <row r="14" spans="1:6" x14ac:dyDescent="0.25">
      <c r="A14" s="5"/>
      <c r="F14" s="6"/>
    </row>
    <row r="15" spans="1:6" x14ac:dyDescent="0.25">
      <c r="A15" s="5"/>
      <c r="F15" s="6"/>
    </row>
    <row r="16" spans="1:6" x14ac:dyDescent="0.25">
      <c r="A16" s="5"/>
      <c r="F16" s="6"/>
    </row>
    <row r="17" spans="1:9" x14ac:dyDescent="0.25">
      <c r="A17" s="5"/>
      <c r="F17" s="6"/>
    </row>
    <row r="18" spans="1:9" x14ac:dyDescent="0.25">
      <c r="A18" s="5"/>
      <c r="F18" s="6"/>
    </row>
    <row r="19" spans="1:9" x14ac:dyDescent="0.25">
      <c r="A19" s="5"/>
      <c r="F19" s="6"/>
    </row>
    <row r="20" spans="1:9" ht="13.8" thickBot="1" x14ac:dyDescent="0.3">
      <c r="A20" s="7"/>
      <c r="B20" s="8"/>
      <c r="C20" s="8"/>
      <c r="D20" s="8"/>
      <c r="E20" s="8"/>
      <c r="F20" s="9"/>
    </row>
    <row r="21" spans="1:9" ht="13.8" thickBot="1" x14ac:dyDescent="0.3"/>
    <row r="22" spans="1:9" x14ac:dyDescent="0.25">
      <c r="A22" s="38" t="s">
        <v>418</v>
      </c>
      <c r="B22" s="39"/>
      <c r="C22" s="39"/>
      <c r="D22" s="39"/>
      <c r="E22" s="39"/>
      <c r="F22" s="39"/>
      <c r="G22" s="39"/>
      <c r="H22" s="39"/>
      <c r="I22" s="40"/>
    </row>
    <row r="23" spans="1:9" ht="13.8" thickBot="1" x14ac:dyDescent="0.3">
      <c r="A23" s="5"/>
      <c r="I23" s="6"/>
    </row>
    <row r="24" spans="1:9" ht="13.8" thickBot="1" x14ac:dyDescent="0.3">
      <c r="A24" s="14" t="s">
        <v>2</v>
      </c>
      <c r="B24" s="12" t="s">
        <v>402</v>
      </c>
      <c r="I24" s="6"/>
    </row>
    <row r="25" spans="1:9" x14ac:dyDescent="0.25">
      <c r="A25" s="10" t="s">
        <v>413</v>
      </c>
      <c r="B25" s="48">
        <v>55</v>
      </c>
      <c r="I25" s="6"/>
    </row>
    <row r="26" spans="1:9" x14ac:dyDescent="0.25">
      <c r="A26" s="13" t="s">
        <v>397</v>
      </c>
      <c r="B26" s="53">
        <v>6</v>
      </c>
      <c r="I26" s="6"/>
    </row>
    <row r="27" spans="1:9" x14ac:dyDescent="0.25">
      <c r="A27" s="13" t="s">
        <v>414</v>
      </c>
      <c r="B27" s="53">
        <v>4</v>
      </c>
      <c r="I27" s="6"/>
    </row>
    <row r="28" spans="1:9" ht="13.8" thickBot="1" x14ac:dyDescent="0.3">
      <c r="A28" s="11" t="s">
        <v>396</v>
      </c>
      <c r="B28" s="53">
        <v>4</v>
      </c>
      <c r="I28" s="6"/>
    </row>
    <row r="29" spans="1:9" ht="13.8" thickBot="1" x14ac:dyDescent="0.3">
      <c r="A29" s="12" t="s">
        <v>401</v>
      </c>
      <c r="B29" s="49">
        <v>69</v>
      </c>
      <c r="I29" s="6"/>
    </row>
    <row r="30" spans="1:9" x14ac:dyDescent="0.25">
      <c r="I30" s="6"/>
    </row>
    <row r="31" spans="1:9" x14ac:dyDescent="0.25">
      <c r="I31" s="6"/>
    </row>
    <row r="32" spans="1:9" x14ac:dyDescent="0.25">
      <c r="I32" s="6"/>
    </row>
    <row r="33" spans="1:10" x14ac:dyDescent="0.25">
      <c r="I33" s="6"/>
    </row>
    <row r="34" spans="1:10" x14ac:dyDescent="0.25">
      <c r="I34" s="6"/>
    </row>
    <row r="35" spans="1:10" x14ac:dyDescent="0.25">
      <c r="A35" s="5"/>
      <c r="I35" s="6"/>
    </row>
    <row r="36" spans="1:10" ht="13.8" thickBot="1" x14ac:dyDescent="0.3">
      <c r="A36" s="7"/>
      <c r="B36" s="8"/>
      <c r="C36" s="8"/>
      <c r="D36" s="8"/>
      <c r="E36" s="8"/>
      <c r="F36" s="8"/>
      <c r="G36" s="8"/>
      <c r="H36" s="8"/>
      <c r="I36" s="9"/>
    </row>
    <row r="38" spans="1:10" ht="13.8" thickBot="1" x14ac:dyDescent="0.3"/>
    <row r="39" spans="1:10" ht="13.8" thickBot="1" x14ac:dyDescent="0.3">
      <c r="A39" s="41" t="s">
        <v>420</v>
      </c>
      <c r="B39" s="42"/>
      <c r="C39" s="42"/>
      <c r="D39" s="42"/>
      <c r="E39" s="42"/>
      <c r="F39" s="42"/>
      <c r="G39" s="42"/>
      <c r="H39" s="42"/>
      <c r="I39" s="42"/>
      <c r="J39" s="43"/>
    </row>
    <row r="40" spans="1:10" ht="13.8" thickBot="1" x14ac:dyDescent="0.3">
      <c r="A40" s="14" t="s">
        <v>387</v>
      </c>
      <c r="B40" s="12" t="s">
        <v>402</v>
      </c>
      <c r="J40" s="6"/>
    </row>
    <row r="41" spans="1:10" x14ac:dyDescent="0.25">
      <c r="A41" s="10" t="s">
        <v>388</v>
      </c>
      <c r="B41" s="48">
        <v>34</v>
      </c>
      <c r="J41" s="6"/>
    </row>
    <row r="42" spans="1:10" x14ac:dyDescent="0.25">
      <c r="A42" s="13" t="s">
        <v>395</v>
      </c>
      <c r="B42" s="53">
        <v>58</v>
      </c>
      <c r="J42" s="6"/>
    </row>
    <row r="43" spans="1:10" x14ac:dyDescent="0.25">
      <c r="A43" s="13" t="s">
        <v>394</v>
      </c>
      <c r="B43" s="53">
        <v>67</v>
      </c>
      <c r="J43" s="6"/>
    </row>
    <row r="44" spans="1:10" x14ac:dyDescent="0.25">
      <c r="A44" s="13" t="s">
        <v>393</v>
      </c>
      <c r="B44" s="53">
        <v>87</v>
      </c>
      <c r="J44" s="6"/>
    </row>
    <row r="45" spans="1:10" x14ac:dyDescent="0.25">
      <c r="A45" s="13" t="s">
        <v>391</v>
      </c>
      <c r="B45" s="53">
        <v>124</v>
      </c>
      <c r="J45" s="6"/>
    </row>
    <row r="46" spans="1:10" x14ac:dyDescent="0.25">
      <c r="A46" s="13" t="s">
        <v>390</v>
      </c>
      <c r="B46" s="53">
        <v>142</v>
      </c>
      <c r="J46" s="6"/>
    </row>
    <row r="47" spans="1:10" x14ac:dyDescent="0.25">
      <c r="A47" s="13" t="s">
        <v>392</v>
      </c>
      <c r="B47" s="53">
        <v>173</v>
      </c>
      <c r="J47" s="6"/>
    </row>
    <row r="48" spans="1:10" ht="13.8" thickBot="1" x14ac:dyDescent="0.3">
      <c r="A48" s="11" t="s">
        <v>389</v>
      </c>
      <c r="B48" s="53">
        <v>284</v>
      </c>
      <c r="J48" s="6"/>
    </row>
    <row r="49" spans="1:10" ht="13.8" thickBot="1" x14ac:dyDescent="0.3">
      <c r="A49" s="12" t="s">
        <v>401</v>
      </c>
      <c r="B49" s="49">
        <v>969</v>
      </c>
      <c r="J49" s="6"/>
    </row>
    <row r="50" spans="1:10" x14ac:dyDescent="0.25">
      <c r="J50" s="6"/>
    </row>
    <row r="51" spans="1:10" x14ac:dyDescent="0.25">
      <c r="A51" s="5"/>
      <c r="J51" s="6"/>
    </row>
    <row r="52" spans="1:10" x14ac:dyDescent="0.25">
      <c r="A52" s="5"/>
      <c r="J52" s="6"/>
    </row>
    <row r="53" spans="1:10" x14ac:dyDescent="0.25">
      <c r="A53" s="5"/>
      <c r="J53" s="6"/>
    </row>
    <row r="54" spans="1:10" x14ac:dyDescent="0.25">
      <c r="A54" s="5"/>
      <c r="J54" s="6"/>
    </row>
    <row r="55" spans="1:10" x14ac:dyDescent="0.25">
      <c r="A55" s="5"/>
      <c r="J55" s="6"/>
    </row>
    <row r="56" spans="1:10" x14ac:dyDescent="0.25">
      <c r="A56" s="5"/>
      <c r="J56" s="6"/>
    </row>
    <row r="57" spans="1:10" ht="13.8" thickBot="1" x14ac:dyDescent="0.3">
      <c r="A57" s="7"/>
      <c r="B57" s="8"/>
      <c r="C57" s="8"/>
      <c r="D57" s="8"/>
      <c r="E57" s="8"/>
      <c r="F57" s="8"/>
      <c r="G57" s="8"/>
      <c r="H57" s="8"/>
      <c r="I57" s="8"/>
      <c r="J57" s="9"/>
    </row>
    <row r="58" spans="1:10" ht="13.8" thickBot="1" x14ac:dyDescent="0.3">
      <c r="A58" s="18" t="s">
        <v>578</v>
      </c>
      <c r="B58" s="19" t="s">
        <v>1009</v>
      </c>
    </row>
    <row r="59" spans="1:10" ht="13.8" thickBot="1" x14ac:dyDescent="0.3">
      <c r="A59" s="44" t="s">
        <v>421</v>
      </c>
      <c r="B59" s="45"/>
      <c r="C59" s="45"/>
      <c r="D59" s="45"/>
      <c r="E59" s="45"/>
      <c r="F59" s="45"/>
      <c r="G59" s="45"/>
      <c r="H59" s="46"/>
    </row>
    <row r="60" spans="1:10" ht="13.8" thickBot="1" x14ac:dyDescent="0.3">
      <c r="A60" s="14" t="s">
        <v>3</v>
      </c>
      <c r="B60" s="4" t="s">
        <v>402</v>
      </c>
      <c r="H60" s="6"/>
    </row>
    <row r="61" spans="1:10" x14ac:dyDescent="0.25">
      <c r="A61" s="5" t="s">
        <v>11</v>
      </c>
      <c r="B61" s="48">
        <v>243</v>
      </c>
      <c r="H61" s="6"/>
    </row>
    <row r="62" spans="1:10" x14ac:dyDescent="0.25">
      <c r="A62" s="5" t="s">
        <v>1032</v>
      </c>
      <c r="B62" s="53">
        <v>122</v>
      </c>
      <c r="H62" s="6"/>
    </row>
    <row r="63" spans="1:10" x14ac:dyDescent="0.25">
      <c r="A63" s="5" t="s">
        <v>1034</v>
      </c>
      <c r="B63" s="53">
        <v>71</v>
      </c>
      <c r="H63" s="6"/>
    </row>
    <row r="64" spans="1:10" x14ac:dyDescent="0.25">
      <c r="A64" s="5" t="s">
        <v>1029</v>
      </c>
      <c r="B64" s="53">
        <v>41</v>
      </c>
      <c r="H64" s="6"/>
    </row>
    <row r="65" spans="1:8" ht="13.8" thickBot="1" x14ac:dyDescent="0.3">
      <c r="A65" s="7" t="s">
        <v>1028</v>
      </c>
      <c r="B65" s="49">
        <v>265</v>
      </c>
      <c r="H65" s="6"/>
    </row>
    <row r="66" spans="1:8" x14ac:dyDescent="0.25">
      <c r="H66" s="6"/>
    </row>
    <row r="67" spans="1:8" x14ac:dyDescent="0.25">
      <c r="H67" s="6"/>
    </row>
    <row r="68" spans="1:8" x14ac:dyDescent="0.25">
      <c r="H68" s="6"/>
    </row>
    <row r="69" spans="1:8" x14ac:dyDescent="0.25">
      <c r="H69" s="6"/>
    </row>
    <row r="70" spans="1:8" ht="13.8" thickBot="1" x14ac:dyDescent="0.3">
      <c r="H70" s="6"/>
    </row>
    <row r="71" spans="1:8" ht="13.8" thickBot="1" x14ac:dyDescent="0.3">
      <c r="D71" s="8"/>
      <c r="E71" s="8"/>
      <c r="F71" s="8"/>
      <c r="G71" s="8"/>
      <c r="H71" s="9"/>
    </row>
    <row r="73" spans="1:8" ht="13.8" thickBot="1" x14ac:dyDescent="0.3"/>
    <row r="74" spans="1:8" ht="13.8" thickBot="1" x14ac:dyDescent="0.3">
      <c r="A74" s="41" t="s">
        <v>422</v>
      </c>
      <c r="B74" s="42"/>
      <c r="C74" s="42"/>
      <c r="D74" s="42"/>
      <c r="E74" s="42"/>
      <c r="F74" s="42"/>
      <c r="G74" s="42"/>
      <c r="H74" s="43"/>
    </row>
    <row r="75" spans="1:8" ht="13.8" thickBot="1" x14ac:dyDescent="0.3">
      <c r="A75" s="17" t="s">
        <v>415</v>
      </c>
      <c r="B75" s="12" t="s">
        <v>402</v>
      </c>
      <c r="H75" s="6"/>
    </row>
    <row r="76" spans="1:8" x14ac:dyDescent="0.25">
      <c r="A76" s="5" t="s">
        <v>1023</v>
      </c>
      <c r="B76" s="48">
        <v>864</v>
      </c>
      <c r="H76" s="6"/>
    </row>
    <row r="77" spans="1:8" ht="13.8" thickBot="1" x14ac:dyDescent="0.3">
      <c r="A77" s="7" t="s">
        <v>1024</v>
      </c>
      <c r="B77" s="49">
        <v>105</v>
      </c>
      <c r="H77" s="6"/>
    </row>
    <row r="78" spans="1:8" x14ac:dyDescent="0.25">
      <c r="H78" s="6"/>
    </row>
    <row r="79" spans="1:8" x14ac:dyDescent="0.25">
      <c r="H79" s="6"/>
    </row>
    <row r="80" spans="1:8" x14ac:dyDescent="0.25">
      <c r="A80" s="5"/>
      <c r="H80" s="6"/>
    </row>
    <row r="81" spans="1:12" x14ac:dyDescent="0.25">
      <c r="A81" s="5"/>
      <c r="H81" s="6"/>
    </row>
    <row r="82" spans="1:12" x14ac:dyDescent="0.25">
      <c r="A82" s="5"/>
      <c r="H82" s="6"/>
    </row>
    <row r="83" spans="1:12" x14ac:dyDescent="0.25">
      <c r="A83" s="5"/>
      <c r="H83" s="6"/>
    </row>
    <row r="84" spans="1:12" x14ac:dyDescent="0.25">
      <c r="A84" s="5"/>
      <c r="H84" s="6"/>
    </row>
    <row r="85" spans="1:12" x14ac:dyDescent="0.25">
      <c r="A85" s="5"/>
      <c r="H85" s="6"/>
    </row>
    <row r="86" spans="1:12" ht="13.8" thickBot="1" x14ac:dyDescent="0.3">
      <c r="A86" s="7"/>
      <c r="B86" s="8"/>
      <c r="C86" s="8"/>
      <c r="D86" s="8"/>
      <c r="E86" s="8"/>
      <c r="F86" s="8"/>
      <c r="G86" s="8"/>
      <c r="H86" s="9"/>
    </row>
    <row r="87" spans="1:12" ht="13.8" thickBot="1" x14ac:dyDescent="0.3"/>
    <row r="88" spans="1:12" ht="13.8" thickBot="1" x14ac:dyDescent="0.3">
      <c r="A88" s="38" t="s">
        <v>426</v>
      </c>
      <c r="B88" s="39"/>
      <c r="C88" s="39"/>
      <c r="D88" s="39"/>
      <c r="E88" s="39"/>
      <c r="F88" s="39"/>
      <c r="G88" s="39"/>
      <c r="H88" s="39"/>
      <c r="I88" s="39"/>
      <c r="J88" s="39"/>
      <c r="K88" s="39"/>
      <c r="L88" s="40"/>
    </row>
    <row r="89" spans="1:12" ht="13.8" thickBot="1" x14ac:dyDescent="0.3">
      <c r="A89" s="14" t="s">
        <v>423</v>
      </c>
      <c r="B89" s="14" t="s">
        <v>424</v>
      </c>
      <c r="C89" s="12" t="s">
        <v>402</v>
      </c>
      <c r="L89" s="6"/>
    </row>
    <row r="90" spans="1:12" x14ac:dyDescent="0.25">
      <c r="A90" s="10" t="s">
        <v>2004</v>
      </c>
      <c r="B90" s="10" t="s">
        <v>2005</v>
      </c>
      <c r="C90" s="48">
        <v>1</v>
      </c>
      <c r="L90" s="6"/>
    </row>
    <row r="91" spans="1:12" x14ac:dyDescent="0.25">
      <c r="A91" s="13"/>
      <c r="B91" s="13" t="s">
        <v>940</v>
      </c>
      <c r="C91" s="53">
        <v>6</v>
      </c>
      <c r="L91" s="6"/>
    </row>
    <row r="92" spans="1:12" x14ac:dyDescent="0.25">
      <c r="A92" s="13"/>
      <c r="B92" s="13" t="s">
        <v>2006</v>
      </c>
      <c r="C92" s="53">
        <v>8</v>
      </c>
      <c r="L92" s="6"/>
    </row>
    <row r="93" spans="1:12" x14ac:dyDescent="0.25">
      <c r="A93" s="13"/>
      <c r="B93" s="13" t="s">
        <v>2007</v>
      </c>
      <c r="C93" s="53">
        <v>43</v>
      </c>
      <c r="L93" s="6"/>
    </row>
    <row r="94" spans="1:12" x14ac:dyDescent="0.25">
      <c r="A94" s="13"/>
      <c r="B94" s="13" t="s">
        <v>2008</v>
      </c>
      <c r="C94" s="53">
        <v>76</v>
      </c>
      <c r="L94" s="6"/>
    </row>
    <row r="95" spans="1:12" x14ac:dyDescent="0.25">
      <c r="A95" s="13"/>
      <c r="B95" s="13" t="s">
        <v>2009</v>
      </c>
      <c r="C95" s="53">
        <v>76</v>
      </c>
      <c r="L95" s="6"/>
    </row>
    <row r="96" spans="1:12" x14ac:dyDescent="0.25">
      <c r="A96" s="13"/>
      <c r="B96" s="13" t="s">
        <v>2010</v>
      </c>
      <c r="C96" s="53">
        <v>55</v>
      </c>
      <c r="L96" s="6"/>
    </row>
    <row r="97" spans="1:14" ht="13.8" thickBot="1" x14ac:dyDescent="0.3">
      <c r="A97" s="13"/>
      <c r="B97" s="11" t="s">
        <v>2011</v>
      </c>
      <c r="C97" s="53">
        <v>73</v>
      </c>
      <c r="L97" s="6"/>
    </row>
    <row r="98" spans="1:14" ht="13.8" thickBot="1" x14ac:dyDescent="0.3">
      <c r="A98" s="13" t="s">
        <v>425</v>
      </c>
      <c r="B98" s="12" t="s">
        <v>2012</v>
      </c>
      <c r="C98" s="53">
        <v>116</v>
      </c>
      <c r="L98" s="6"/>
    </row>
    <row r="99" spans="1:14" x14ac:dyDescent="0.25">
      <c r="A99" s="13"/>
      <c r="B99" s="54" t="s">
        <v>2013</v>
      </c>
      <c r="C99" s="53">
        <v>98</v>
      </c>
      <c r="L99" s="6"/>
    </row>
    <row r="100" spans="1:14" x14ac:dyDescent="0.25">
      <c r="A100" s="13"/>
      <c r="B100" s="54" t="s">
        <v>2014</v>
      </c>
      <c r="C100" s="53">
        <v>90</v>
      </c>
      <c r="L100" s="6"/>
    </row>
    <row r="101" spans="1:14" ht="13.8" thickBot="1" x14ac:dyDescent="0.3">
      <c r="A101" s="13"/>
      <c r="B101" s="54" t="s">
        <v>2015</v>
      </c>
      <c r="C101" s="53">
        <v>103</v>
      </c>
      <c r="D101" s="8"/>
      <c r="E101" s="8"/>
      <c r="F101" s="8"/>
      <c r="G101" s="8"/>
      <c r="H101" s="8"/>
      <c r="I101" s="8"/>
      <c r="J101" s="8"/>
      <c r="K101" s="8"/>
      <c r="L101" s="9"/>
    </row>
    <row r="102" spans="1:14" x14ac:dyDescent="0.25">
      <c r="A102" s="13"/>
      <c r="B102" s="54" t="s">
        <v>2005</v>
      </c>
      <c r="C102" s="53">
        <v>110</v>
      </c>
    </row>
    <row r="103" spans="1:14" x14ac:dyDescent="0.25">
      <c r="A103" s="13"/>
      <c r="B103" s="54" t="s">
        <v>940</v>
      </c>
      <c r="C103" s="53">
        <v>101</v>
      </c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3"/>
    </row>
    <row r="104" spans="1:14" ht="13.8" thickBot="1" x14ac:dyDescent="0.3">
      <c r="A104" s="11"/>
      <c r="B104" s="8" t="s">
        <v>2006</v>
      </c>
      <c r="C104" s="49">
        <v>12</v>
      </c>
      <c r="N104" s="25"/>
    </row>
    <row r="105" spans="1:14" x14ac:dyDescent="0.25">
      <c r="A105" s="29" t="s">
        <v>578</v>
      </c>
      <c r="B105" s="30" t="s">
        <v>402</v>
      </c>
      <c r="N105" s="25"/>
    </row>
    <row r="106" spans="1:14" x14ac:dyDescent="0.25">
      <c r="A106" s="24" t="s">
        <v>1009</v>
      </c>
      <c r="B106" s="51">
        <v>959</v>
      </c>
      <c r="N106" s="25"/>
    </row>
    <row r="107" spans="1:14" x14ac:dyDescent="0.25">
      <c r="A107" s="26" t="s">
        <v>997</v>
      </c>
      <c r="B107" s="52">
        <v>10</v>
      </c>
      <c r="N107" s="25"/>
    </row>
    <row r="108" spans="1:14" x14ac:dyDescent="0.25">
      <c r="N108" s="25"/>
    </row>
    <row r="109" spans="1:14" x14ac:dyDescent="0.25">
      <c r="A109" s="24"/>
      <c r="N109" s="25"/>
    </row>
    <row r="110" spans="1:14" x14ac:dyDescent="0.25">
      <c r="A110" s="24"/>
      <c r="N110" s="25"/>
    </row>
    <row r="111" spans="1:14" x14ac:dyDescent="0.25">
      <c r="A111" s="24"/>
      <c r="N111" s="25"/>
    </row>
    <row r="112" spans="1:14" x14ac:dyDescent="0.25">
      <c r="A112" s="24"/>
      <c r="N112" s="25"/>
    </row>
    <row r="113" spans="1:16" x14ac:dyDescent="0.25">
      <c r="A113" s="24"/>
      <c r="N113" s="25"/>
    </row>
    <row r="114" spans="1:16" x14ac:dyDescent="0.25">
      <c r="A114" s="24"/>
      <c r="N114" s="25"/>
    </row>
    <row r="115" spans="1:16" x14ac:dyDescent="0.25">
      <c r="A115" s="24"/>
      <c r="N115" s="25"/>
    </row>
    <row r="116" spans="1:16" x14ac:dyDescent="0.25">
      <c r="A116" s="24"/>
      <c r="N116" s="25"/>
    </row>
    <row r="117" spans="1:16" x14ac:dyDescent="0.25">
      <c r="A117" s="24"/>
      <c r="N117" s="25"/>
    </row>
    <row r="118" spans="1:16" x14ac:dyDescent="0.25">
      <c r="A118" s="24"/>
      <c r="N118" s="25"/>
    </row>
    <row r="119" spans="1:16" x14ac:dyDescent="0.25">
      <c r="A119" s="24"/>
      <c r="N119" s="25"/>
    </row>
    <row r="120" spans="1:16" x14ac:dyDescent="0.25">
      <c r="A120" s="24"/>
      <c r="N120" s="25"/>
    </row>
    <row r="121" spans="1:16" x14ac:dyDescent="0.25">
      <c r="A121" s="26"/>
      <c r="D121" s="27"/>
      <c r="E121" s="27"/>
      <c r="F121" s="27"/>
      <c r="G121" s="27"/>
      <c r="H121" s="27"/>
      <c r="I121" s="27"/>
      <c r="J121" s="27"/>
      <c r="K121" s="27"/>
      <c r="L121" s="27"/>
      <c r="M121" s="27"/>
      <c r="N121" s="28"/>
    </row>
    <row r="125" spans="1:16" ht="13.8" thickBot="1" x14ac:dyDescent="0.3"/>
    <row r="126" spans="1:16" x14ac:dyDescent="0.25">
      <c r="A126" s="31"/>
      <c r="B126" s="32"/>
      <c r="C126" s="32"/>
      <c r="D126" s="32"/>
      <c r="E126" s="32"/>
      <c r="F126" s="32"/>
      <c r="G126" s="32"/>
      <c r="H126" s="32"/>
      <c r="I126" s="32"/>
      <c r="J126" s="32"/>
      <c r="K126" s="32"/>
      <c r="L126" s="32"/>
      <c r="M126" s="32"/>
      <c r="N126" s="32"/>
      <c r="O126" s="32"/>
      <c r="P126" s="4"/>
    </row>
    <row r="127" spans="1:16" x14ac:dyDescent="0.25">
      <c r="A127" s="5"/>
      <c r="P127" s="6"/>
    </row>
    <row r="128" spans="1:16" ht="24.6" x14ac:dyDescent="0.4">
      <c r="A128" s="36" t="s">
        <v>759</v>
      </c>
      <c r="B128" s="37"/>
      <c r="C128" s="37"/>
      <c r="D128" s="37"/>
      <c r="E128" s="37"/>
      <c r="F128" s="37"/>
      <c r="G128" s="37"/>
      <c r="H128" s="37"/>
      <c r="I128" s="37"/>
      <c r="J128" s="37"/>
      <c r="N128" s="6"/>
    </row>
    <row r="129" spans="1:3" x14ac:dyDescent="0.25">
      <c r="A129" s="5"/>
    </row>
    <row r="130" spans="1:3" x14ac:dyDescent="0.25">
      <c r="A130" s="5"/>
      <c r="B130" s="33" t="s">
        <v>782</v>
      </c>
      <c r="C130" t="s">
        <v>402</v>
      </c>
    </row>
    <row r="131" spans="1:3" x14ac:dyDescent="0.25">
      <c r="A131" s="5"/>
      <c r="B131" s="34" t="s">
        <v>2004</v>
      </c>
      <c r="C131" s="47">
        <v>240</v>
      </c>
    </row>
    <row r="132" spans="1:3" x14ac:dyDescent="0.25">
      <c r="A132" s="5"/>
      <c r="B132" s="35" t="s">
        <v>2008</v>
      </c>
      <c r="C132" s="47">
        <v>48</v>
      </c>
    </row>
    <row r="133" spans="1:3" x14ac:dyDescent="0.25">
      <c r="A133" s="5"/>
      <c r="B133" s="35" t="s">
        <v>2009</v>
      </c>
      <c r="C133" s="47">
        <v>65</v>
      </c>
    </row>
    <row r="134" spans="1:3" x14ac:dyDescent="0.25">
      <c r="A134" s="5"/>
      <c r="B134" s="35" t="s">
        <v>2010</v>
      </c>
      <c r="C134" s="47">
        <v>63</v>
      </c>
    </row>
    <row r="135" spans="1:3" x14ac:dyDescent="0.25">
      <c r="A135" s="5"/>
      <c r="B135" s="35" t="s">
        <v>2011</v>
      </c>
      <c r="C135" s="47">
        <v>64</v>
      </c>
    </row>
    <row r="136" spans="1:3" x14ac:dyDescent="0.25">
      <c r="A136" s="5"/>
      <c r="B136" s="34" t="s">
        <v>425</v>
      </c>
      <c r="C136" s="47">
        <v>603</v>
      </c>
    </row>
    <row r="137" spans="1:3" x14ac:dyDescent="0.25">
      <c r="A137" s="5"/>
      <c r="B137" s="35" t="s">
        <v>2012</v>
      </c>
      <c r="C137" s="47">
        <v>62</v>
      </c>
    </row>
    <row r="138" spans="1:3" x14ac:dyDescent="0.25">
      <c r="A138" s="5"/>
      <c r="B138" s="35" t="s">
        <v>2013</v>
      </c>
      <c r="C138" s="47">
        <v>66</v>
      </c>
    </row>
    <row r="139" spans="1:3" x14ac:dyDescent="0.25">
      <c r="A139" s="5"/>
      <c r="B139" s="35" t="s">
        <v>2014</v>
      </c>
      <c r="C139" s="47">
        <v>129</v>
      </c>
    </row>
    <row r="140" spans="1:3" x14ac:dyDescent="0.25">
      <c r="A140" s="5"/>
      <c r="B140" s="35" t="s">
        <v>2015</v>
      </c>
      <c r="C140" s="47">
        <v>121</v>
      </c>
    </row>
    <row r="141" spans="1:3" x14ac:dyDescent="0.25">
      <c r="A141" s="5"/>
      <c r="B141" s="35" t="s">
        <v>2005</v>
      </c>
      <c r="C141" s="47">
        <v>99</v>
      </c>
    </row>
    <row r="142" spans="1:3" x14ac:dyDescent="0.25">
      <c r="A142" s="5"/>
      <c r="B142" s="35" t="s">
        <v>940</v>
      </c>
      <c r="C142" s="47">
        <v>112</v>
      </c>
    </row>
    <row r="143" spans="1:3" x14ac:dyDescent="0.25">
      <c r="A143" s="5"/>
      <c r="B143" s="35" t="s">
        <v>2006</v>
      </c>
      <c r="C143" s="47">
        <v>14</v>
      </c>
    </row>
    <row r="144" spans="1:3" x14ac:dyDescent="0.25">
      <c r="A144" s="5"/>
      <c r="B144" s="34" t="s">
        <v>2985</v>
      </c>
      <c r="C144" s="47">
        <v>126</v>
      </c>
    </row>
    <row r="145" spans="1:16" x14ac:dyDescent="0.25">
      <c r="A145" s="5"/>
      <c r="B145" s="35" t="s">
        <v>2985</v>
      </c>
      <c r="C145" s="47">
        <v>126</v>
      </c>
    </row>
    <row r="146" spans="1:16" x14ac:dyDescent="0.25">
      <c r="A146" s="5"/>
      <c r="B146" s="34" t="s">
        <v>401</v>
      </c>
      <c r="C146" s="47">
        <v>969</v>
      </c>
    </row>
    <row r="147" spans="1:16" x14ac:dyDescent="0.25">
      <c r="A147" s="5"/>
    </row>
    <row r="148" spans="1:16" ht="13.8" thickBot="1" x14ac:dyDescent="0.3">
      <c r="A148" s="7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9"/>
    </row>
  </sheetData>
  <mergeCells count="7">
    <mergeCell ref="A128:J128"/>
    <mergeCell ref="A88:L88"/>
    <mergeCell ref="A1:C1"/>
    <mergeCell ref="A22:I22"/>
    <mergeCell ref="A39:J39"/>
    <mergeCell ref="A59:H59"/>
    <mergeCell ref="A74:H74"/>
  </mergeCells>
  <pageMargins left="0.7" right="0.7" top="0.75" bottom="0.75" header="0.3" footer="0.3"/>
  <drawing r:id="rId10"/>
  <extLst>
    <ext xmlns:x15="http://schemas.microsoft.com/office/spreadsheetml/2010/11/main" uri="{7E03D99C-DC04-49d9-9315-930204A7B6E9}">
      <x15:timelineRefs>
        <x15:timelineRef r:id="rId11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93DF7-858C-4BE2-AB8E-454C6EE9D4CE}">
  <sheetPr codeName="Sheet4"/>
  <dimension ref="B1:K12"/>
  <sheetViews>
    <sheetView workbookViewId="0">
      <selection activeCell="C23" sqref="C23"/>
    </sheetView>
  </sheetViews>
  <sheetFormatPr defaultRowHeight="13.2" x14ac:dyDescent="0.25"/>
  <cols>
    <col min="1" max="1" width="18.44140625" bestFit="1" customWidth="1"/>
    <col min="2" max="2" width="23.5546875" bestFit="1" customWidth="1"/>
    <col min="3" max="3" width="16.21875" bestFit="1" customWidth="1"/>
    <col min="4" max="4" width="11.5546875" bestFit="1" customWidth="1"/>
    <col min="6" max="6" width="18.109375" customWidth="1"/>
    <col min="7" max="7" width="2.88671875" customWidth="1"/>
    <col min="8" max="8" width="23.5546875" bestFit="1" customWidth="1"/>
    <col min="9" max="9" width="4.5546875" customWidth="1"/>
    <col min="10" max="10" width="23.5546875" bestFit="1" customWidth="1"/>
    <col min="13" max="13" width="13.33203125" bestFit="1" customWidth="1"/>
  </cols>
  <sheetData>
    <row r="1" spans="2:11" x14ac:dyDescent="0.25">
      <c r="D1" t="s">
        <v>577</v>
      </c>
      <c r="F1" t="s">
        <v>397</v>
      </c>
      <c r="H1" t="e" cm="1">
        <f t="array" ref="H1">_xlfn.UNIQUE(#REF!)</f>
        <v>#REF!</v>
      </c>
      <c r="K1" s="1" t="s">
        <v>427</v>
      </c>
    </row>
    <row r="2" spans="2:11" x14ac:dyDescent="0.25">
      <c r="B2" s="1" t="s">
        <v>1023</v>
      </c>
      <c r="C2" s="1"/>
      <c r="D2" s="1" t="s">
        <v>1025</v>
      </c>
      <c r="F2" t="s">
        <v>396</v>
      </c>
    </row>
    <row r="3" spans="2:11" x14ac:dyDescent="0.25">
      <c r="B3" s="1" t="s">
        <v>1024</v>
      </c>
      <c r="C3" s="1"/>
      <c r="D3" s="1" t="s">
        <v>1032</v>
      </c>
      <c r="F3" t="s">
        <v>398</v>
      </c>
    </row>
    <row r="4" spans="2:11" x14ac:dyDescent="0.25">
      <c r="D4" s="1" t="s">
        <v>1033</v>
      </c>
      <c r="F4" t="s">
        <v>413</v>
      </c>
    </row>
    <row r="5" spans="2:11" x14ac:dyDescent="0.25">
      <c r="D5" s="1" t="s">
        <v>1031</v>
      </c>
      <c r="F5" t="s">
        <v>404</v>
      </c>
    </row>
    <row r="6" spans="2:11" x14ac:dyDescent="0.25">
      <c r="D6" t="s">
        <v>11</v>
      </c>
      <c r="F6" t="s">
        <v>412</v>
      </c>
    </row>
    <row r="7" spans="2:11" x14ac:dyDescent="0.25">
      <c r="D7" s="1" t="s">
        <v>1026</v>
      </c>
      <c r="F7" t="s">
        <v>414</v>
      </c>
    </row>
    <row r="8" spans="2:11" x14ac:dyDescent="0.25">
      <c r="D8" s="1" t="s">
        <v>1027</v>
      </c>
    </row>
    <row r="9" spans="2:11" x14ac:dyDescent="0.25">
      <c r="D9" s="1" t="s">
        <v>1029</v>
      </c>
    </row>
    <row r="10" spans="2:11" x14ac:dyDescent="0.25">
      <c r="D10" s="1" t="s">
        <v>1028</v>
      </c>
    </row>
    <row r="11" spans="2:11" x14ac:dyDescent="0.25">
      <c r="D11" s="1" t="s">
        <v>1030</v>
      </c>
    </row>
    <row r="12" spans="2:11" x14ac:dyDescent="0.25">
      <c r="D12" s="1" t="s">
        <v>1034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A717C99-9C65-4A82-B2AA-648375E1716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Tickets</vt:lpstr>
      <vt:lpstr>Analysis</vt:lpstr>
      <vt:lpstr>Category_Map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Iseoluwa Alabi</dc:creator>
  <cp:lastModifiedBy>Iseoluwa Alabi</cp:lastModifiedBy>
  <dcterms:created xsi:type="dcterms:W3CDTF">2026-01-13T15:28:46Z</dcterms:created>
  <dcterms:modified xsi:type="dcterms:W3CDTF">2026-07-09T08:35:18Z</dcterms:modified>
</cp:coreProperties>
</file>